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riya\Downloads\"/>
    </mc:Choice>
  </mc:AlternateContent>
  <xr:revisionPtr revIDLastSave="0" documentId="13_ncr:1_{76A11D36-707B-4AE9-B2B9-EDB67EDBBF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R268" i="1"/>
  <c r="R428" i="1"/>
  <c r="R396" i="1"/>
  <c r="R269" i="1"/>
  <c r="R22" i="1"/>
  <c r="R270" i="1"/>
  <c r="R246" i="1"/>
  <c r="R305" i="1"/>
  <c r="R353" i="1"/>
  <c r="R397" i="1"/>
  <c r="R2" i="1"/>
  <c r="R306" i="1"/>
  <c r="R429" i="1"/>
  <c r="R224" i="1"/>
  <c r="R3" i="1"/>
  <c r="R430" i="1"/>
  <c r="R354" i="1"/>
  <c r="R247" i="1"/>
  <c r="R23" i="1"/>
  <c r="R431" i="1"/>
  <c r="R271" i="1"/>
  <c r="R72" i="1"/>
  <c r="R210" i="1"/>
  <c r="R325" i="1"/>
  <c r="R307" i="1"/>
  <c r="R73" i="1"/>
  <c r="R74" i="1"/>
  <c r="R272" i="1"/>
  <c r="R225" i="1"/>
  <c r="R130" i="1"/>
  <c r="R248" i="1"/>
  <c r="R4" i="1"/>
  <c r="R249" i="1"/>
  <c r="R326" i="1"/>
  <c r="R184" i="1"/>
  <c r="R308" i="1"/>
  <c r="R75" i="1"/>
  <c r="R327" i="1"/>
  <c r="R76" i="1"/>
  <c r="R24" i="1"/>
  <c r="R131" i="1"/>
  <c r="R77" i="1"/>
  <c r="R97" i="1"/>
  <c r="R398" i="1"/>
  <c r="R45" i="1"/>
  <c r="R25" i="1"/>
  <c r="R432" i="1"/>
  <c r="R226" i="1"/>
  <c r="R46" i="1"/>
  <c r="R78" i="1"/>
  <c r="R433" i="1"/>
  <c r="R328" i="1"/>
  <c r="R98" i="1"/>
  <c r="R26" i="1"/>
  <c r="R355" i="1"/>
  <c r="R434" i="1"/>
  <c r="R356" i="1"/>
  <c r="R211" i="1"/>
  <c r="R5" i="1"/>
  <c r="R250" i="1"/>
  <c r="R399" i="1"/>
  <c r="R132" i="1"/>
  <c r="R273" i="1"/>
  <c r="R99" i="1"/>
  <c r="R329" i="1"/>
  <c r="R27" i="1"/>
  <c r="R330" i="1"/>
  <c r="R212" i="1"/>
  <c r="R435" i="1"/>
  <c r="R274" i="1"/>
  <c r="R47" i="1"/>
  <c r="R151" i="1"/>
  <c r="R251" i="1"/>
  <c r="R400" i="1"/>
  <c r="R79" i="1"/>
  <c r="R185" i="1"/>
  <c r="R436" i="1"/>
  <c r="R28" i="1"/>
  <c r="R133" i="1"/>
  <c r="R437" i="1"/>
  <c r="R152" i="1"/>
  <c r="R438" i="1"/>
  <c r="R275" i="1"/>
  <c r="R439" i="1"/>
  <c r="R153" i="1"/>
  <c r="R6" i="1"/>
  <c r="R440" i="1"/>
  <c r="R213" i="1"/>
  <c r="R441" i="1"/>
  <c r="R442" i="1"/>
  <c r="R401" i="1"/>
  <c r="R186" i="1"/>
  <c r="R154" i="1"/>
  <c r="R402" i="1"/>
  <c r="R443" i="1"/>
  <c r="R276" i="1"/>
  <c r="R187" i="1"/>
  <c r="R100" i="1"/>
  <c r="R252" i="1"/>
  <c r="R444" i="1"/>
  <c r="R214" i="1"/>
  <c r="R48" i="1"/>
  <c r="R357" i="1"/>
  <c r="R358" i="1"/>
  <c r="R253" i="1"/>
  <c r="R359" i="1"/>
  <c r="R445" i="1"/>
  <c r="R277" i="1"/>
  <c r="R360" i="1"/>
  <c r="R80" i="1"/>
  <c r="R403" i="1"/>
  <c r="R215" i="1"/>
  <c r="R446" i="1"/>
  <c r="R49" i="1"/>
  <c r="R331" i="1"/>
  <c r="R404" i="1"/>
  <c r="R447" i="1"/>
  <c r="R101" i="1"/>
  <c r="R50" i="1"/>
  <c r="R254" i="1"/>
  <c r="R29" i="1"/>
  <c r="R255" i="1"/>
  <c r="R361" i="1"/>
  <c r="R51" i="1"/>
  <c r="R278" i="1"/>
  <c r="R448" i="1"/>
  <c r="R52" i="1"/>
  <c r="R449" i="1"/>
  <c r="R309" i="1"/>
  <c r="R81" i="1"/>
  <c r="R362" i="1"/>
  <c r="R134" i="1"/>
  <c r="R450" i="1"/>
  <c r="R188" i="1"/>
  <c r="R279" i="1"/>
  <c r="R405" i="1"/>
  <c r="R332" i="1"/>
  <c r="R30" i="1"/>
  <c r="R102" i="1"/>
  <c r="R333" i="1"/>
  <c r="R363" i="1"/>
  <c r="R364" i="1"/>
  <c r="R189" i="1"/>
  <c r="R451" i="1"/>
  <c r="R190" i="1"/>
  <c r="R227" i="1"/>
  <c r="R228" i="1"/>
  <c r="R365" i="1"/>
  <c r="R406" i="1"/>
  <c r="R103" i="1"/>
  <c r="R104" i="1"/>
  <c r="R280" i="1"/>
  <c r="R229" i="1"/>
  <c r="R366" i="1"/>
  <c r="R367" i="1"/>
  <c r="R155" i="1"/>
  <c r="R156" i="1"/>
  <c r="R281" i="1"/>
  <c r="R282" i="1"/>
  <c r="R256" i="1"/>
  <c r="R191" i="1"/>
  <c r="R105" i="1"/>
  <c r="R192" i="1"/>
  <c r="R7" i="1"/>
  <c r="R82" i="1"/>
  <c r="R8" i="1"/>
  <c r="R230" i="1"/>
  <c r="R157" i="1"/>
  <c r="R257" i="1"/>
  <c r="R452" i="1"/>
  <c r="R106" i="1"/>
  <c r="R53" i="1"/>
  <c r="R216" i="1"/>
  <c r="R368" i="1"/>
  <c r="R54" i="1"/>
  <c r="R334" i="1"/>
  <c r="R407" i="1"/>
  <c r="R453" i="1"/>
  <c r="R135" i="1"/>
  <c r="R31" i="1"/>
  <c r="R258" i="1"/>
  <c r="R107" i="1"/>
  <c r="R158" i="1"/>
  <c r="R108" i="1"/>
  <c r="R231" i="1"/>
  <c r="R232" i="1"/>
  <c r="R217" i="1"/>
  <c r="R109" i="1"/>
  <c r="R454" i="1"/>
  <c r="R455" i="1"/>
  <c r="R159" i="1"/>
  <c r="R160" i="1"/>
  <c r="R83" i="1"/>
  <c r="R161" i="1"/>
  <c r="R456" i="1"/>
  <c r="R110" i="1"/>
  <c r="R9" i="1"/>
  <c r="R369" i="1"/>
  <c r="R193" i="1"/>
  <c r="R32" i="1"/>
  <c r="R408" i="1"/>
  <c r="R370" i="1"/>
  <c r="R283" i="1"/>
  <c r="R335" i="1"/>
  <c r="R33" i="1"/>
  <c r="R233" i="1"/>
  <c r="R371" i="1"/>
  <c r="R111" i="1"/>
  <c r="R457" i="1"/>
  <c r="R136" i="1"/>
  <c r="R55" i="1"/>
  <c r="R458" i="1"/>
  <c r="R459" i="1"/>
  <c r="R56" i="1"/>
  <c r="R460" i="1"/>
  <c r="R284" i="1"/>
  <c r="R162" i="1"/>
  <c r="R84" i="1"/>
  <c r="R259" i="1"/>
  <c r="R112" i="1"/>
  <c r="R461" i="1"/>
  <c r="R113" i="1"/>
  <c r="R462" i="1"/>
  <c r="R163" i="1"/>
  <c r="R310" i="1"/>
  <c r="R409" i="1"/>
  <c r="R372" i="1"/>
  <c r="R373" i="1"/>
  <c r="R285" i="1"/>
  <c r="R463" i="1"/>
  <c r="R57" i="1"/>
  <c r="R464" i="1"/>
  <c r="R286" i="1"/>
  <c r="R10" i="1"/>
  <c r="R336" i="1"/>
  <c r="R337" i="1"/>
  <c r="R260" i="1"/>
  <c r="R374" i="1"/>
  <c r="R311" i="1"/>
  <c r="R375" i="1"/>
  <c r="R465" i="1"/>
  <c r="R466" i="1"/>
  <c r="R287" i="1"/>
  <c r="R58" i="1"/>
  <c r="R467" i="1"/>
  <c r="R410" i="1"/>
  <c r="R11" i="1"/>
  <c r="R114" i="1"/>
  <c r="R34" i="1"/>
  <c r="R59" i="1"/>
  <c r="R85" i="1"/>
  <c r="R137" i="1"/>
  <c r="R234" i="1"/>
  <c r="R411" i="1"/>
  <c r="R235" i="1"/>
  <c r="R86" i="1"/>
  <c r="R338" i="1"/>
  <c r="R312" i="1"/>
  <c r="R468" i="1"/>
  <c r="R469" i="1"/>
  <c r="R194" i="1"/>
  <c r="R236" i="1"/>
  <c r="R138" i="1"/>
  <c r="R339" i="1"/>
  <c r="R470" i="1"/>
  <c r="R340" i="1"/>
  <c r="R139" i="1"/>
  <c r="R412" i="1"/>
  <c r="R140" i="1"/>
  <c r="R87" i="1"/>
  <c r="R195" i="1"/>
  <c r="R237" i="1"/>
  <c r="R376" i="1"/>
  <c r="R377" i="1"/>
  <c r="R288" i="1"/>
  <c r="R378" i="1"/>
  <c r="R379" i="1"/>
  <c r="R141" i="1"/>
  <c r="R35" i="1"/>
  <c r="R380" i="1"/>
  <c r="R12" i="1"/>
  <c r="R238" i="1"/>
  <c r="R313" i="1"/>
  <c r="R88" i="1"/>
  <c r="R13" i="1"/>
  <c r="R314" i="1"/>
  <c r="R471" i="1"/>
  <c r="R14" i="1"/>
  <c r="R261" i="1"/>
  <c r="R36" i="1"/>
  <c r="R115" i="1"/>
  <c r="R60" i="1"/>
  <c r="R37" i="1"/>
  <c r="R164" i="1"/>
  <c r="R116" i="1"/>
  <c r="R472" i="1"/>
  <c r="R473" i="1"/>
  <c r="R61" i="1"/>
  <c r="R289" i="1"/>
  <c r="R341" i="1"/>
  <c r="R342" i="1"/>
  <c r="R218" i="1"/>
  <c r="R15" i="1"/>
  <c r="R165" i="1"/>
  <c r="R62" i="1"/>
  <c r="R262" i="1"/>
  <c r="R166" i="1"/>
  <c r="R167" i="1"/>
  <c r="R474" i="1"/>
  <c r="R196" i="1"/>
  <c r="R239" i="1"/>
  <c r="R197" i="1"/>
  <c r="R63" i="1"/>
  <c r="R475" i="1"/>
  <c r="R198" i="1"/>
  <c r="R263" i="1"/>
  <c r="R476" i="1"/>
  <c r="R168" i="1"/>
  <c r="R240" i="1"/>
  <c r="R117" i="1"/>
  <c r="R477" i="1"/>
  <c r="R241" i="1"/>
  <c r="R64" i="1"/>
  <c r="R381" i="1"/>
  <c r="R478" i="1"/>
  <c r="R413" i="1"/>
  <c r="R242" i="1"/>
  <c r="R118" i="1"/>
  <c r="R89" i="1"/>
  <c r="R119" i="1"/>
  <c r="R120" i="1"/>
  <c r="R264" i="1"/>
  <c r="R343" i="1"/>
  <c r="R315" i="1"/>
  <c r="R382" i="1"/>
  <c r="R290" i="1"/>
  <c r="R479" i="1"/>
  <c r="R480" i="1"/>
  <c r="R316" i="1"/>
  <c r="R481" i="1"/>
  <c r="R482" i="1"/>
  <c r="R483" i="1"/>
  <c r="R38" i="1"/>
  <c r="R344" i="1"/>
  <c r="R414" i="1"/>
  <c r="R199" i="1"/>
  <c r="R383" i="1"/>
  <c r="R39" i="1"/>
  <c r="R169" i="1"/>
  <c r="R484" i="1"/>
  <c r="R121" i="1"/>
  <c r="R485" i="1"/>
  <c r="R291" i="1"/>
  <c r="R292" i="1"/>
  <c r="R345" i="1"/>
  <c r="R219" i="1"/>
  <c r="R384" i="1"/>
  <c r="R90" i="1"/>
  <c r="R486" i="1"/>
  <c r="R415" i="1"/>
  <c r="R385" i="1"/>
  <c r="R487" i="1"/>
  <c r="R91" i="1"/>
  <c r="R386" i="1"/>
  <c r="R387" i="1"/>
  <c r="R488" i="1"/>
  <c r="R293" i="1"/>
  <c r="R416" i="1"/>
  <c r="R200" i="1"/>
  <c r="R40" i="1"/>
  <c r="R489" i="1"/>
  <c r="R294" i="1"/>
  <c r="R201" i="1"/>
  <c r="R142" i="1"/>
  <c r="R220" i="1"/>
  <c r="R16" i="1"/>
  <c r="R295" i="1"/>
  <c r="R317" i="1"/>
  <c r="R417" i="1"/>
  <c r="R65" i="1"/>
  <c r="R66" i="1"/>
  <c r="R143" i="1"/>
  <c r="R388" i="1"/>
  <c r="R346" i="1"/>
  <c r="R347" i="1"/>
  <c r="R41" i="1"/>
  <c r="R296" i="1"/>
  <c r="R297" i="1"/>
  <c r="R490" i="1"/>
  <c r="R67" i="1"/>
  <c r="R491" i="1"/>
  <c r="R170" i="1"/>
  <c r="R202" i="1"/>
  <c r="R492" i="1"/>
  <c r="R122" i="1"/>
  <c r="R171" i="1"/>
  <c r="R348" i="1"/>
  <c r="R418" i="1"/>
  <c r="R493" i="1"/>
  <c r="R419" i="1"/>
  <c r="R172" i="1"/>
  <c r="R68" i="1"/>
  <c r="R318" i="1"/>
  <c r="R420" i="1"/>
  <c r="R494" i="1"/>
  <c r="R495" i="1"/>
  <c r="R349" i="1"/>
  <c r="R17" i="1"/>
  <c r="R298" i="1"/>
  <c r="R265" i="1"/>
  <c r="R123" i="1"/>
  <c r="R319" i="1"/>
  <c r="R299" i="1"/>
  <c r="R173" i="1"/>
  <c r="R320" i="1"/>
  <c r="R174" i="1"/>
  <c r="R18" i="1"/>
  <c r="R421" i="1"/>
  <c r="R389" i="1"/>
  <c r="R422" i="1"/>
  <c r="R243" i="1"/>
  <c r="R321" i="1"/>
  <c r="R300" i="1"/>
  <c r="R390" i="1"/>
  <c r="R175" i="1"/>
  <c r="R144" i="1"/>
  <c r="R496" i="1"/>
  <c r="R322" i="1"/>
  <c r="R244" i="1"/>
  <c r="R350" i="1"/>
  <c r="R176" i="1"/>
  <c r="R92" i="1"/>
  <c r="R203" i="1"/>
  <c r="R42" i="1"/>
  <c r="R204" i="1"/>
  <c r="R205" i="1"/>
  <c r="R351" i="1"/>
  <c r="R177" i="1"/>
  <c r="R391" i="1"/>
  <c r="R124" i="1"/>
  <c r="R178" i="1"/>
  <c r="R69" i="1"/>
  <c r="R301" i="1"/>
  <c r="R93" i="1"/>
  <c r="R19" i="1"/>
  <c r="R94" i="1"/>
  <c r="R43" i="1"/>
  <c r="R206" i="1"/>
  <c r="R266" i="1"/>
  <c r="R323" i="1"/>
  <c r="R70" i="1"/>
  <c r="R179" i="1"/>
  <c r="R71" i="1"/>
  <c r="R392" i="1"/>
  <c r="R20" i="1"/>
  <c r="R145" i="1"/>
  <c r="R125" i="1"/>
  <c r="R302" i="1"/>
  <c r="R497" i="1"/>
  <c r="R146" i="1"/>
  <c r="R352" i="1"/>
  <c r="R126" i="1"/>
  <c r="R221" i="1"/>
  <c r="R498" i="1"/>
  <c r="R127" i="1"/>
  <c r="R180" i="1"/>
  <c r="R393" i="1"/>
  <c r="R499" i="1"/>
  <c r="R147" i="1"/>
  <c r="R394" i="1"/>
  <c r="R181" i="1"/>
  <c r="R128" i="1"/>
  <c r="R207" i="1"/>
  <c r="R222" i="1"/>
  <c r="R303" i="1"/>
  <c r="R423" i="1"/>
  <c r="R424" i="1"/>
  <c r="R208" i="1"/>
  <c r="R425" i="1"/>
  <c r="R148" i="1"/>
  <c r="R500" i="1"/>
  <c r="R395" i="1"/>
  <c r="R149" i="1"/>
  <c r="R267" i="1"/>
  <c r="R501" i="1"/>
  <c r="R426" i="1"/>
  <c r="R223" i="1"/>
  <c r="R44" i="1"/>
  <c r="R209" i="1"/>
  <c r="R245" i="1"/>
  <c r="R129" i="1"/>
  <c r="R150" i="1"/>
  <c r="R304" i="1"/>
  <c r="R324" i="1"/>
  <c r="R182" i="1"/>
  <c r="R183" i="1"/>
  <c r="R427" i="1"/>
  <c r="R95" i="1"/>
  <c r="R96" i="1"/>
  <c r="E268" i="1"/>
  <c r="E428" i="1"/>
  <c r="E396" i="1"/>
  <c r="E269" i="1"/>
  <c r="E22" i="1"/>
  <c r="E270" i="1"/>
  <c r="E246" i="1"/>
  <c r="E305" i="1"/>
  <c r="E353" i="1"/>
  <c r="E397" i="1"/>
  <c r="E2" i="1"/>
  <c r="E306" i="1"/>
  <c r="E429" i="1"/>
  <c r="E224" i="1"/>
  <c r="E3" i="1"/>
  <c r="E430" i="1"/>
  <c r="E354" i="1"/>
  <c r="E247" i="1"/>
  <c r="E23" i="1"/>
  <c r="E431" i="1"/>
  <c r="E271" i="1"/>
  <c r="E72" i="1"/>
  <c r="E210" i="1"/>
  <c r="E325" i="1"/>
  <c r="E307" i="1"/>
  <c r="E73" i="1"/>
  <c r="E74" i="1"/>
  <c r="E272" i="1"/>
  <c r="E225" i="1"/>
  <c r="E130" i="1"/>
  <c r="E248" i="1"/>
  <c r="E4" i="1"/>
  <c r="E249" i="1"/>
  <c r="E326" i="1"/>
  <c r="E184" i="1"/>
  <c r="E308" i="1"/>
  <c r="E75" i="1"/>
  <c r="E327" i="1"/>
  <c r="E76" i="1"/>
  <c r="E24" i="1"/>
  <c r="E131" i="1"/>
  <c r="E77" i="1"/>
  <c r="E97" i="1"/>
  <c r="E398" i="1"/>
  <c r="E45" i="1"/>
  <c r="E25" i="1"/>
  <c r="E432" i="1"/>
  <c r="E226" i="1"/>
  <c r="E46" i="1"/>
  <c r="E78" i="1"/>
  <c r="E433" i="1"/>
  <c r="E328" i="1"/>
  <c r="E98" i="1"/>
  <c r="E26" i="1"/>
  <c r="E355" i="1"/>
  <c r="E434" i="1"/>
  <c r="E356" i="1"/>
  <c r="E211" i="1"/>
  <c r="E5" i="1"/>
  <c r="E250" i="1"/>
  <c r="E399" i="1"/>
  <c r="E132" i="1"/>
  <c r="E273" i="1"/>
  <c r="E99" i="1"/>
  <c r="E329" i="1"/>
  <c r="E27" i="1"/>
  <c r="E330" i="1"/>
  <c r="E212" i="1"/>
  <c r="E435" i="1"/>
  <c r="E274" i="1"/>
  <c r="E47" i="1"/>
  <c r="E151" i="1"/>
  <c r="E251" i="1"/>
  <c r="E400" i="1"/>
  <c r="E79" i="1"/>
  <c r="E185" i="1"/>
  <c r="E436" i="1"/>
  <c r="E28" i="1"/>
  <c r="E133" i="1"/>
  <c r="E437" i="1"/>
  <c r="E152" i="1"/>
  <c r="E438" i="1"/>
  <c r="E275" i="1"/>
  <c r="E439" i="1"/>
  <c r="E153" i="1"/>
  <c r="E6" i="1"/>
  <c r="E440" i="1"/>
  <c r="E213" i="1"/>
  <c r="E441" i="1"/>
  <c r="E442" i="1"/>
  <c r="E401" i="1"/>
  <c r="E186" i="1"/>
  <c r="E154" i="1"/>
  <c r="E402" i="1"/>
  <c r="E443" i="1"/>
  <c r="E276" i="1"/>
  <c r="E187" i="1"/>
  <c r="E100" i="1"/>
  <c r="E252" i="1"/>
  <c r="E444" i="1"/>
  <c r="E214" i="1"/>
  <c r="E48" i="1"/>
  <c r="E357" i="1"/>
  <c r="E358" i="1"/>
  <c r="E253" i="1"/>
  <c r="E359" i="1"/>
  <c r="E445" i="1"/>
  <c r="E277" i="1"/>
  <c r="E360" i="1"/>
  <c r="E80" i="1"/>
  <c r="E403" i="1"/>
  <c r="E215" i="1"/>
  <c r="E446" i="1"/>
  <c r="E49" i="1"/>
  <c r="E331" i="1"/>
  <c r="E404" i="1"/>
  <c r="E447" i="1"/>
  <c r="E101" i="1"/>
  <c r="E50" i="1"/>
  <c r="E254" i="1"/>
  <c r="E29" i="1"/>
  <c r="E255" i="1"/>
  <c r="E361" i="1"/>
  <c r="E51" i="1"/>
  <c r="E278" i="1"/>
  <c r="E448" i="1"/>
  <c r="E52" i="1"/>
  <c r="E449" i="1"/>
  <c r="E309" i="1"/>
  <c r="E81" i="1"/>
  <c r="E362" i="1"/>
  <c r="E134" i="1"/>
  <c r="E450" i="1"/>
  <c r="E188" i="1"/>
  <c r="E279" i="1"/>
  <c r="E405" i="1"/>
  <c r="E332" i="1"/>
  <c r="E30" i="1"/>
  <c r="E102" i="1"/>
  <c r="E333" i="1"/>
  <c r="E363" i="1"/>
  <c r="E364" i="1"/>
  <c r="E189" i="1"/>
  <c r="E451" i="1"/>
  <c r="E190" i="1"/>
  <c r="E227" i="1"/>
  <c r="E228" i="1"/>
  <c r="E365" i="1"/>
  <c r="E406" i="1"/>
  <c r="E103" i="1"/>
  <c r="E104" i="1"/>
  <c r="E280" i="1"/>
  <c r="E229" i="1"/>
  <c r="E366" i="1"/>
  <c r="E367" i="1"/>
  <c r="E155" i="1"/>
  <c r="E156" i="1"/>
  <c r="E281" i="1"/>
  <c r="E282" i="1"/>
  <c r="E256" i="1"/>
  <c r="E191" i="1"/>
  <c r="E105" i="1"/>
  <c r="E192" i="1"/>
  <c r="E7" i="1"/>
  <c r="E82" i="1"/>
  <c r="E8" i="1"/>
  <c r="E230" i="1"/>
  <c r="E157" i="1"/>
  <c r="E257" i="1"/>
  <c r="E452" i="1"/>
  <c r="E106" i="1"/>
  <c r="E53" i="1"/>
  <c r="E216" i="1"/>
  <c r="E368" i="1"/>
  <c r="E54" i="1"/>
  <c r="E334" i="1"/>
  <c r="E407" i="1"/>
  <c r="E453" i="1"/>
  <c r="E135" i="1"/>
  <c r="E31" i="1"/>
  <c r="E258" i="1"/>
  <c r="E107" i="1"/>
  <c r="E158" i="1"/>
  <c r="E108" i="1"/>
  <c r="E231" i="1"/>
  <c r="E232" i="1"/>
  <c r="E217" i="1"/>
  <c r="E109" i="1"/>
  <c r="E454" i="1"/>
  <c r="E455" i="1"/>
  <c r="E159" i="1"/>
  <c r="E160" i="1"/>
  <c r="E83" i="1"/>
  <c r="E161" i="1"/>
  <c r="E456" i="1"/>
  <c r="E110" i="1"/>
  <c r="E9" i="1"/>
  <c r="E369" i="1"/>
  <c r="E193" i="1"/>
  <c r="E32" i="1"/>
  <c r="E408" i="1"/>
  <c r="E370" i="1"/>
  <c r="E283" i="1"/>
  <c r="E335" i="1"/>
  <c r="E33" i="1"/>
  <c r="E233" i="1"/>
  <c r="E371" i="1"/>
  <c r="E111" i="1"/>
  <c r="E457" i="1"/>
  <c r="E136" i="1"/>
  <c r="E55" i="1"/>
  <c r="E458" i="1"/>
  <c r="E459" i="1"/>
  <c r="E56" i="1"/>
  <c r="E460" i="1"/>
  <c r="E284" i="1"/>
  <c r="E162" i="1"/>
  <c r="E84" i="1"/>
  <c r="E259" i="1"/>
  <c r="E112" i="1"/>
  <c r="E461" i="1"/>
  <c r="E113" i="1"/>
  <c r="E462" i="1"/>
  <c r="E163" i="1"/>
  <c r="E310" i="1"/>
  <c r="E409" i="1"/>
  <c r="E372" i="1"/>
  <c r="E373" i="1"/>
  <c r="E285" i="1"/>
  <c r="E463" i="1"/>
  <c r="E57" i="1"/>
  <c r="E464" i="1"/>
  <c r="E286" i="1"/>
  <c r="E10" i="1"/>
  <c r="E336" i="1"/>
  <c r="E337" i="1"/>
  <c r="E260" i="1"/>
  <c r="E374" i="1"/>
  <c r="E311" i="1"/>
  <c r="E375" i="1"/>
  <c r="E465" i="1"/>
  <c r="E466" i="1"/>
  <c r="E287" i="1"/>
  <c r="E58" i="1"/>
  <c r="E467" i="1"/>
  <c r="E410" i="1"/>
  <c r="E11" i="1"/>
  <c r="E114" i="1"/>
  <c r="E34" i="1"/>
  <c r="E59" i="1"/>
  <c r="E85" i="1"/>
  <c r="E137" i="1"/>
  <c r="E234" i="1"/>
  <c r="E411" i="1"/>
  <c r="E235" i="1"/>
  <c r="E86" i="1"/>
  <c r="E338" i="1"/>
  <c r="E312" i="1"/>
  <c r="E468" i="1"/>
  <c r="E469" i="1"/>
  <c r="E194" i="1"/>
  <c r="E236" i="1"/>
  <c r="E138" i="1"/>
  <c r="E339" i="1"/>
  <c r="E470" i="1"/>
  <c r="E340" i="1"/>
  <c r="E139" i="1"/>
  <c r="E412" i="1"/>
  <c r="E140" i="1"/>
  <c r="E87" i="1"/>
  <c r="E195" i="1"/>
  <c r="E237" i="1"/>
  <c r="E376" i="1"/>
  <c r="E377" i="1"/>
  <c r="E288" i="1"/>
  <c r="E378" i="1"/>
  <c r="E379" i="1"/>
  <c r="E141" i="1"/>
  <c r="E35" i="1"/>
  <c r="E380" i="1"/>
  <c r="E12" i="1"/>
  <c r="E238" i="1"/>
  <c r="E313" i="1"/>
  <c r="E88" i="1"/>
  <c r="E13" i="1"/>
  <c r="E314" i="1"/>
  <c r="E471" i="1"/>
  <c r="E14" i="1"/>
  <c r="E261" i="1"/>
  <c r="E36" i="1"/>
  <c r="E115" i="1"/>
  <c r="E60" i="1"/>
  <c r="E37" i="1"/>
  <c r="E164" i="1"/>
  <c r="E116" i="1"/>
  <c r="E472" i="1"/>
  <c r="E473" i="1"/>
  <c r="E61" i="1"/>
  <c r="E289" i="1"/>
  <c r="E341" i="1"/>
  <c r="E342" i="1"/>
  <c r="E218" i="1"/>
  <c r="E15" i="1"/>
  <c r="E165" i="1"/>
  <c r="E62" i="1"/>
  <c r="E262" i="1"/>
  <c r="E166" i="1"/>
  <c r="E167" i="1"/>
  <c r="E474" i="1"/>
  <c r="E196" i="1"/>
  <c r="E239" i="1"/>
  <c r="E197" i="1"/>
  <c r="E63" i="1"/>
  <c r="E475" i="1"/>
  <c r="E198" i="1"/>
  <c r="E263" i="1"/>
  <c r="E476" i="1"/>
  <c r="E168" i="1"/>
  <c r="E240" i="1"/>
  <c r="E117" i="1"/>
  <c r="E477" i="1"/>
  <c r="E241" i="1"/>
  <c r="E64" i="1"/>
  <c r="E381" i="1"/>
  <c r="E478" i="1"/>
  <c r="E413" i="1"/>
  <c r="E242" i="1"/>
  <c r="E118" i="1"/>
  <c r="E89" i="1"/>
  <c r="E119" i="1"/>
  <c r="E120" i="1"/>
  <c r="E264" i="1"/>
  <c r="E343" i="1"/>
  <c r="E315" i="1"/>
  <c r="E382" i="1"/>
  <c r="E290" i="1"/>
  <c r="E479" i="1"/>
  <c r="E480" i="1"/>
  <c r="E316" i="1"/>
  <c r="E481" i="1"/>
  <c r="E482" i="1"/>
  <c r="E483" i="1"/>
  <c r="E38" i="1"/>
  <c r="E344" i="1"/>
  <c r="E414" i="1"/>
  <c r="E199" i="1"/>
  <c r="E383" i="1"/>
  <c r="E39" i="1"/>
  <c r="E169" i="1"/>
  <c r="E484" i="1"/>
  <c r="E121" i="1"/>
  <c r="E485" i="1"/>
  <c r="E291" i="1"/>
  <c r="E292" i="1"/>
  <c r="E345" i="1"/>
  <c r="E219" i="1"/>
  <c r="E384" i="1"/>
  <c r="E90" i="1"/>
  <c r="E486" i="1"/>
  <c r="E415" i="1"/>
  <c r="E385" i="1"/>
  <c r="E487" i="1"/>
  <c r="E91" i="1"/>
  <c r="E386" i="1"/>
  <c r="E387" i="1"/>
  <c r="E488" i="1"/>
  <c r="E293" i="1"/>
  <c r="E416" i="1"/>
  <c r="E200" i="1"/>
  <c r="E40" i="1"/>
  <c r="E489" i="1"/>
  <c r="E294" i="1"/>
  <c r="E201" i="1"/>
  <c r="E142" i="1"/>
  <c r="E220" i="1"/>
  <c r="E16" i="1"/>
  <c r="E295" i="1"/>
  <c r="E317" i="1"/>
  <c r="E417" i="1"/>
  <c r="E65" i="1"/>
  <c r="E66" i="1"/>
  <c r="E143" i="1"/>
  <c r="E388" i="1"/>
  <c r="E346" i="1"/>
  <c r="E347" i="1"/>
  <c r="E41" i="1"/>
  <c r="E296" i="1"/>
  <c r="E297" i="1"/>
  <c r="E490" i="1"/>
  <c r="E67" i="1"/>
  <c r="E491" i="1"/>
  <c r="E170" i="1"/>
  <c r="E202" i="1"/>
  <c r="E492" i="1"/>
  <c r="E122" i="1"/>
  <c r="E171" i="1"/>
  <c r="E348" i="1"/>
  <c r="E418" i="1"/>
  <c r="E493" i="1"/>
  <c r="E419" i="1"/>
  <c r="E172" i="1"/>
  <c r="E68" i="1"/>
  <c r="E318" i="1"/>
  <c r="E420" i="1"/>
  <c r="E494" i="1"/>
  <c r="E495" i="1"/>
  <c r="E349" i="1"/>
  <c r="E17" i="1"/>
  <c r="E298" i="1"/>
  <c r="E265" i="1"/>
  <c r="E123" i="1"/>
  <c r="E319" i="1"/>
  <c r="E299" i="1"/>
  <c r="E173" i="1"/>
  <c r="E320" i="1"/>
  <c r="E174" i="1"/>
  <c r="E18" i="1"/>
  <c r="E421" i="1"/>
  <c r="E389" i="1"/>
  <c r="E422" i="1"/>
  <c r="E243" i="1"/>
  <c r="E321" i="1"/>
  <c r="E300" i="1"/>
  <c r="E390" i="1"/>
  <c r="E175" i="1"/>
  <c r="E144" i="1"/>
  <c r="E496" i="1"/>
  <c r="E322" i="1"/>
  <c r="E244" i="1"/>
  <c r="E350" i="1"/>
  <c r="E176" i="1"/>
  <c r="E92" i="1"/>
  <c r="E203" i="1"/>
  <c r="E42" i="1"/>
  <c r="E204" i="1"/>
  <c r="E205" i="1"/>
  <c r="E351" i="1"/>
  <c r="E177" i="1"/>
  <c r="E391" i="1"/>
  <c r="E124" i="1"/>
  <c r="E178" i="1"/>
  <c r="E69" i="1"/>
  <c r="E301" i="1"/>
  <c r="E93" i="1"/>
  <c r="E19" i="1"/>
  <c r="E94" i="1"/>
  <c r="E43" i="1"/>
  <c r="E206" i="1"/>
  <c r="E266" i="1"/>
  <c r="E323" i="1"/>
  <c r="E70" i="1"/>
  <c r="E179" i="1"/>
  <c r="E71" i="1"/>
  <c r="E392" i="1"/>
  <c r="E20" i="1"/>
  <c r="E145" i="1"/>
  <c r="E125" i="1"/>
  <c r="E302" i="1"/>
  <c r="E497" i="1"/>
  <c r="E146" i="1"/>
  <c r="E352" i="1"/>
  <c r="E126" i="1"/>
  <c r="E221" i="1"/>
  <c r="E498" i="1"/>
  <c r="E127" i="1"/>
  <c r="E180" i="1"/>
  <c r="E393" i="1"/>
  <c r="E499" i="1"/>
  <c r="E147" i="1"/>
  <c r="E394" i="1"/>
  <c r="E181" i="1"/>
  <c r="E128" i="1"/>
  <c r="E207" i="1"/>
  <c r="E222" i="1"/>
  <c r="E303" i="1"/>
  <c r="E423" i="1"/>
  <c r="E424" i="1"/>
  <c r="E208" i="1"/>
  <c r="E425" i="1"/>
  <c r="E148" i="1"/>
  <c r="E500" i="1"/>
  <c r="E395" i="1"/>
  <c r="E149" i="1"/>
  <c r="E267" i="1"/>
  <c r="E501" i="1"/>
  <c r="E426" i="1"/>
  <c r="E223" i="1"/>
  <c r="E44" i="1"/>
  <c r="E209" i="1"/>
  <c r="E245" i="1"/>
  <c r="E129" i="1"/>
  <c r="E150" i="1"/>
  <c r="E304" i="1"/>
  <c r="E324" i="1"/>
  <c r="E182" i="1"/>
  <c r="E183" i="1"/>
  <c r="E427" i="1"/>
  <c r="E95" i="1"/>
  <c r="E21" i="1"/>
  <c r="E96" i="1"/>
</calcChain>
</file>

<file path=xl/sharedStrings.xml><?xml version="1.0" encoding="utf-8"?>
<sst xmlns="http://schemas.openxmlformats.org/spreadsheetml/2006/main" count="5591" uniqueCount="136">
  <si>
    <t>Job Title</t>
  </si>
  <si>
    <t>Company</t>
  </si>
  <si>
    <t>Industry</t>
  </si>
  <si>
    <t>Location</t>
  </si>
  <si>
    <t>Years of Experience</t>
  </si>
  <si>
    <t>Education</t>
  </si>
  <si>
    <t>Current Role Start Year</t>
  </si>
  <si>
    <t>Previous Company</t>
  </si>
  <si>
    <t>Profile Headline</t>
  </si>
  <si>
    <t>Certifications</t>
  </si>
  <si>
    <t>Salary (USD)</t>
  </si>
  <si>
    <t>Hike (%)</t>
  </si>
  <si>
    <t>Marketing Specialist</t>
  </si>
  <si>
    <t>Data Scientist</t>
  </si>
  <si>
    <t>Software Engineer</t>
  </si>
  <si>
    <t>Project Manager</t>
  </si>
  <si>
    <t>UX Designer</t>
  </si>
  <si>
    <t>Business Consultant</t>
  </si>
  <si>
    <t>Sales Executive</t>
  </si>
  <si>
    <t>Data Analyst</t>
  </si>
  <si>
    <t>HR Manager</t>
  </si>
  <si>
    <t>Financial Analyst</t>
  </si>
  <si>
    <t>SmartWorks</t>
  </si>
  <si>
    <t>TechNova</t>
  </si>
  <si>
    <t>GlobalCorp</t>
  </si>
  <si>
    <t>InnovaSoft</t>
  </si>
  <si>
    <t>VisionEdge</t>
  </si>
  <si>
    <t>NextGen Solutions</t>
  </si>
  <si>
    <t>CloudAxis</t>
  </si>
  <si>
    <t>BrightData</t>
  </si>
  <si>
    <t>Zenith Systems</t>
  </si>
  <si>
    <t>FutureWare</t>
  </si>
  <si>
    <t>Marketing</t>
  </si>
  <si>
    <t>Telecom</t>
  </si>
  <si>
    <t>Technology</t>
  </si>
  <si>
    <t>Healthcare</t>
  </si>
  <si>
    <t>Energy</t>
  </si>
  <si>
    <t>Consulting</t>
  </si>
  <si>
    <t>Retail</t>
  </si>
  <si>
    <t>Finance</t>
  </si>
  <si>
    <t>Manufacturing</t>
  </si>
  <si>
    <t>Singapore</t>
  </si>
  <si>
    <t>Toronto, Canada</t>
  </si>
  <si>
    <t>Dubai, UAE</t>
  </si>
  <si>
    <t>Mumbai, India</t>
  </si>
  <si>
    <t>London, UK</t>
  </si>
  <si>
    <t>New York, USA</t>
  </si>
  <si>
    <t>Berlin, Germany</t>
  </si>
  <si>
    <t>Sydney, Australia</t>
  </si>
  <si>
    <t>Paris, France</t>
  </si>
  <si>
    <t>Doha, Qatar</t>
  </si>
  <si>
    <t>M.Tech</t>
  </si>
  <si>
    <t>B.Tech</t>
  </si>
  <si>
    <t>BBA</t>
  </si>
  <si>
    <t>B.Sc</t>
  </si>
  <si>
    <t>M.Sc</t>
  </si>
  <si>
    <t>B.Com</t>
  </si>
  <si>
    <t>MBA</t>
  </si>
  <si>
    <t>MCA</t>
  </si>
  <si>
    <t>PhD</t>
  </si>
  <si>
    <t>Stakeholder Management</t>
  </si>
  <si>
    <t>Social Media Marketing</t>
  </si>
  <si>
    <t>Investment Analysis</t>
  </si>
  <si>
    <t>Focused on Data-Driven Decisions</t>
  </si>
  <si>
    <t>Driving Business Growth</t>
  </si>
  <si>
    <t>Helping Organizations Transform Digitally</t>
  </si>
  <si>
    <t>Marketing that Converts</t>
  </si>
  <si>
    <t>Passionate about Data &amp; Insights</t>
  </si>
  <si>
    <t>Innovating User Experiences</t>
  </si>
  <si>
    <t>Empowering Teams</t>
  </si>
  <si>
    <t>Committed to Continuous Learning</t>
  </si>
  <si>
    <t>Building Scalable Tech Solutions</t>
  </si>
  <si>
    <t>Turning Data into Strategy</t>
  </si>
  <si>
    <t>None</t>
  </si>
  <si>
    <t>PMP</t>
  </si>
  <si>
    <t>Scrum Master</t>
  </si>
  <si>
    <t>Google Analytics</t>
  </si>
  <si>
    <t>AWS Certified</t>
  </si>
  <si>
    <t>Levels</t>
  </si>
  <si>
    <t>Adjusted  salary</t>
  </si>
  <si>
    <t>SEO</t>
  </si>
  <si>
    <t xml:space="preserve"> Google Ads</t>
  </si>
  <si>
    <t xml:space="preserve"> Content Marketing</t>
  </si>
  <si>
    <t>R</t>
  </si>
  <si>
    <t xml:space="preserve"> Data Visualization</t>
  </si>
  <si>
    <t xml:space="preserve"> SQL</t>
  </si>
  <si>
    <t>JavaScript</t>
  </si>
  <si>
    <t xml:space="preserve"> React</t>
  </si>
  <si>
    <t xml:space="preserve"> Node.js</t>
  </si>
  <si>
    <t>User Research</t>
  </si>
  <si>
    <t xml:space="preserve"> Wireframing</t>
  </si>
  <si>
    <t>Business Analysis</t>
  </si>
  <si>
    <t xml:space="preserve"> Planning</t>
  </si>
  <si>
    <t>CRM</t>
  </si>
  <si>
    <t xml:space="preserve"> Salesforce</t>
  </si>
  <si>
    <t xml:space="preserve"> Lead Generation</t>
  </si>
  <si>
    <t>Excel</t>
  </si>
  <si>
    <t xml:space="preserve"> Power BI</t>
  </si>
  <si>
    <t>Negotiation</t>
  </si>
  <si>
    <t xml:space="preserve"> Communication</t>
  </si>
  <si>
    <t>Strategy</t>
  </si>
  <si>
    <t xml:space="preserve"> Management</t>
  </si>
  <si>
    <t xml:space="preserve"> Operations</t>
  </si>
  <si>
    <t>UI/UX</t>
  </si>
  <si>
    <t xml:space="preserve"> Figma</t>
  </si>
  <si>
    <t xml:space="preserve"> Adobe XD</t>
  </si>
  <si>
    <t>Python</t>
  </si>
  <si>
    <t xml:space="preserve"> Machine Learning</t>
  </si>
  <si>
    <t xml:space="preserve"> AI</t>
  </si>
  <si>
    <t>Agile</t>
  </si>
  <si>
    <t xml:space="preserve"> Scrum</t>
  </si>
  <si>
    <t xml:space="preserve"> Project Planning</t>
  </si>
  <si>
    <t>Recruitment</t>
  </si>
  <si>
    <t xml:space="preserve"> HR Analytics</t>
  </si>
  <si>
    <t xml:space="preserve"> Payroll</t>
  </si>
  <si>
    <t xml:space="preserve"> Java</t>
  </si>
  <si>
    <t xml:space="preserve"> C++</t>
  </si>
  <si>
    <t>Financial Modeling</t>
  </si>
  <si>
    <t xml:space="preserve"> Excel</t>
  </si>
  <si>
    <t xml:space="preserve"> Forecasting</t>
  </si>
  <si>
    <t xml:space="preserve"> Tableau</t>
  </si>
  <si>
    <t>Employee Engagement</t>
  </si>
  <si>
    <t xml:space="preserve"> HRIS</t>
  </si>
  <si>
    <t>Row Labels</t>
  </si>
  <si>
    <t>(blank)</t>
  </si>
  <si>
    <t>Grand Total</t>
  </si>
  <si>
    <t>Column Labels</t>
  </si>
  <si>
    <t>Count of Skills</t>
  </si>
  <si>
    <t>Total Count of Skills</t>
  </si>
  <si>
    <t>Total Count of Certifications</t>
  </si>
  <si>
    <t>Count of Certifications</t>
  </si>
  <si>
    <t>Skills (2)</t>
  </si>
  <si>
    <t>Skills (3)</t>
  </si>
  <si>
    <t>Skills (1)</t>
  </si>
  <si>
    <t>Nill</t>
  </si>
  <si>
    <t>Skill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</si>
</sst>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1" fontId="0" fillId="0" borderId="0" xfId="0" applyNumberFormat="1"/>
    <xf numFmtId="0" fontId="2" fillId="2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riya" refreshedDate="45966.828397453704" createdVersion="8" refreshedVersion="8" minRefreshableVersion="3" recordCount="503" xr:uid="{C3ECE69D-994E-4029-8506-FF8090F85987}">
  <cacheSource type="worksheet">
    <worksheetSource ref="A1:R1048576" sheet="Sheet1"/>
  </cacheSource>
  <cacheFields count="17">
    <cacheField name="Job Title" numFmtId="0">
      <sharedItems containsBlank="1" count="11">
        <s v="Marketing Specialist"/>
        <s v="Data Scientist"/>
        <s v="Software Engineer"/>
        <s v="Project Manager"/>
        <s v="UX Designer"/>
        <s v="Business Consultant"/>
        <s v="Sales Executive"/>
        <s v="Data Analyst"/>
        <s v="HR Manager"/>
        <s v="Financial Analyst"/>
        <m/>
      </sharedItems>
    </cacheField>
    <cacheField name="Company" numFmtId="0">
      <sharedItems containsBlank="1" containsMixedTypes="1" containsNumber="1" containsInteger="1" minValue="56" maxValue="56" count="12">
        <s v="SmartWorks"/>
        <s v="TechNova"/>
        <s v="GlobalCorp"/>
        <s v="InnovaSoft"/>
        <s v="VisionEdge"/>
        <s v="NextGen Solutions"/>
        <s v="CloudAxis"/>
        <s v="BrightData"/>
        <s v="Zenith Systems"/>
        <s v="FutureWare"/>
        <m/>
        <n v="56" u="1"/>
      </sharedItems>
    </cacheField>
    <cacheField name="Industry" numFmtId="0">
      <sharedItems containsBlank="1"/>
    </cacheField>
    <cacheField name="Location" numFmtId="0">
      <sharedItems containsBlank="1"/>
    </cacheField>
    <cacheField name="Levels" numFmtId="0">
      <sharedItems containsBlank="1"/>
    </cacheField>
    <cacheField name="Years of Experience" numFmtId="0">
      <sharedItems containsString="0" containsBlank="1" containsNumber="1" containsInteger="1" minValue="1" maxValue="20"/>
    </cacheField>
    <cacheField name="Education" numFmtId="0">
      <sharedItems containsBlank="1"/>
    </cacheField>
    <cacheField name="Skills" numFmtId="0">
      <sharedItems containsBlank="1" count="19">
        <s v="SEO"/>
        <s v="R"/>
        <s v="JavaScript"/>
        <s v="Stakeholder Management"/>
        <s v="User Research"/>
        <s v="Business Analysis"/>
        <s v="CRM"/>
        <s v="Excel"/>
        <s v="Negotiation"/>
        <s v="Social Media Marketing"/>
        <s v="Strategy"/>
        <s v="UI/UX"/>
        <s v="Python"/>
        <s v="Agile"/>
        <s v="Recruitment"/>
        <s v="Financial Modeling"/>
        <s v="Investment Analysis"/>
        <s v="Employee Engagement"/>
        <m/>
      </sharedItems>
    </cacheField>
    <cacheField name="Column1" numFmtId="0">
      <sharedItems containsBlank="1"/>
    </cacheField>
    <cacheField name="Column2" numFmtId="0">
      <sharedItems containsBlank="1"/>
    </cacheField>
    <cacheField name="Current Role Start Year" numFmtId="0">
      <sharedItems containsString="0" containsBlank="1" containsNumber="1" containsInteger="1" minValue="2010" maxValue="2025"/>
    </cacheField>
    <cacheField name="Previous Company" numFmtId="0">
      <sharedItems containsBlank="1"/>
    </cacheField>
    <cacheField name="Profile Headline" numFmtId="0">
      <sharedItems containsBlank="1"/>
    </cacheField>
    <cacheField name="Certifications" numFmtId="0">
      <sharedItems containsBlank="1" count="6">
        <s v="None"/>
        <s v="PMP"/>
        <s v="Scrum Master"/>
        <s v="Google Analytics"/>
        <s v="AWS Certified"/>
        <m/>
      </sharedItems>
    </cacheField>
    <cacheField name="Salary (USD)" numFmtId="0">
      <sharedItems containsString="0" containsBlank="1" containsNumber="1" containsInteger="1" minValue="3025" maxValue="17918"/>
    </cacheField>
    <cacheField name="Hike (%)" numFmtId="0">
      <sharedItems containsString="0" containsBlank="1" containsNumber="1" containsInteger="1" minValue="4" maxValue="25"/>
    </cacheField>
    <cacheField name="Adjusted  salary" numFmtId="0">
      <sharedItems containsString="0" containsBlank="1" containsNumber="1" minValue="3236.75" maxValue="21880.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">
  <r>
    <x v="0"/>
    <x v="0"/>
    <s v="Marketing"/>
    <s v="Singapore"/>
    <s v="Mid-Level"/>
    <n v="8"/>
    <s v="M.Tech"/>
    <x v="0"/>
    <s v=" Google Ads"/>
    <s v=" Content Marketing"/>
    <n v="2023"/>
    <s v="BrightData"/>
    <s v="Focused on Data-Driven Decisions"/>
    <x v="0"/>
    <n v="4811"/>
    <n v="11"/>
    <n v="5340.21"/>
  </r>
  <r>
    <x v="1"/>
    <x v="1"/>
    <s v="Telecom"/>
    <s v="Toronto, Canada"/>
    <s v="Beginner"/>
    <n v="3"/>
    <s v="B.Tech"/>
    <x v="1"/>
    <s v=" Data Visualization"/>
    <s v=" SQL"/>
    <n v="2021"/>
    <s v="FutureWare"/>
    <s v="Driving Business Growth"/>
    <x v="1"/>
    <n v="14102"/>
    <n v="24"/>
    <n v="17486.48"/>
  </r>
  <r>
    <x v="2"/>
    <x v="2"/>
    <s v="Technology"/>
    <s v="Dubai, UAE"/>
    <s v="Senior"/>
    <n v="11"/>
    <s v="BBA"/>
    <x v="2"/>
    <s v=" React"/>
    <s v=" Node.js"/>
    <n v="2018"/>
    <s v="NextGen Solutions"/>
    <s v="Helping Organizations Transform Digitally"/>
    <x v="2"/>
    <n v="13588"/>
    <n v="8"/>
    <n v="14675.04"/>
  </r>
  <r>
    <x v="3"/>
    <x v="3"/>
    <s v="Healthcare"/>
    <s v="Mumbai, India"/>
    <s v="Mid-Level"/>
    <n v="6"/>
    <s v="BBA"/>
    <x v="3"/>
    <m/>
    <m/>
    <n v="2015"/>
    <s v="BrightData"/>
    <s v="Marketing that Converts"/>
    <x v="2"/>
    <n v="11208"/>
    <n v="14"/>
    <n v="12777.12"/>
  </r>
  <r>
    <x v="4"/>
    <x v="4"/>
    <s v="Energy"/>
    <s v="Dubai, UAE"/>
    <s v="Senior"/>
    <n v="19"/>
    <s v="B.Sc"/>
    <x v="4"/>
    <s v=" Wireframing"/>
    <m/>
    <n v="2018"/>
    <s v="FutureWare"/>
    <s v="Passionate about Data &amp; Insights"/>
    <x v="3"/>
    <n v="9335"/>
    <n v="9"/>
    <n v="10175.150000000001"/>
  </r>
  <r>
    <x v="2"/>
    <x v="5"/>
    <s v="Consulting"/>
    <s v="Mumbai, India"/>
    <s v="Senior"/>
    <n v="11"/>
    <s v="B.Sc"/>
    <x v="2"/>
    <s v=" React"/>
    <s v=" Node.js"/>
    <n v="2021"/>
    <s v="BrightData"/>
    <s v="Innovating User Experiences"/>
    <x v="0"/>
    <n v="13016"/>
    <n v="18"/>
    <n v="15358.88"/>
  </r>
  <r>
    <x v="1"/>
    <x v="2"/>
    <s v="Retail"/>
    <s v="London, UK"/>
    <s v="Senior"/>
    <n v="18"/>
    <s v="M.Sc"/>
    <x v="1"/>
    <s v=" Data Visualization"/>
    <s v=" SQL"/>
    <n v="2017"/>
    <s v="Zenith Systems"/>
    <s v="Marketing that Converts"/>
    <x v="4"/>
    <n v="14167"/>
    <n v="15"/>
    <n v="16292.05"/>
  </r>
  <r>
    <x v="2"/>
    <x v="6"/>
    <s v="Finance"/>
    <s v="New York, USA"/>
    <s v="Senior"/>
    <n v="14"/>
    <s v="B.Tech"/>
    <x v="2"/>
    <s v=" React"/>
    <s v=" Node.js"/>
    <n v="2014"/>
    <s v="SmartWorks"/>
    <s v="Driving Business Growth"/>
    <x v="4"/>
    <n v="14611"/>
    <n v="15"/>
    <n v="16802.649999999998"/>
  </r>
  <r>
    <x v="5"/>
    <x v="5"/>
    <s v="Marketing"/>
    <s v="Berlin, Germany"/>
    <s v="Mid-Level"/>
    <n v="9"/>
    <s v="M.Sc"/>
    <x v="5"/>
    <s v=" Planning"/>
    <m/>
    <n v="2018"/>
    <s v="InnovaSoft"/>
    <s v="Empowering Teams"/>
    <x v="4"/>
    <n v="13723"/>
    <n v="12"/>
    <n v="15369.760000000002"/>
  </r>
  <r>
    <x v="6"/>
    <x v="2"/>
    <s v="Energy"/>
    <s v="Singapore"/>
    <s v="Senior"/>
    <n v="18"/>
    <s v="B.Tech"/>
    <x v="6"/>
    <s v=" Salesforce"/>
    <s v=" Lead Generation"/>
    <n v="2022"/>
    <s v="VisionEdge"/>
    <s v="Marketing that Converts"/>
    <x v="3"/>
    <n v="4726"/>
    <n v="7"/>
    <n v="5056.8200000000006"/>
  </r>
  <r>
    <x v="7"/>
    <x v="3"/>
    <s v="Consulting"/>
    <s v="Toronto, Canada"/>
    <s v="Senior"/>
    <n v="16"/>
    <s v="B.Com"/>
    <x v="7"/>
    <s v=" SQL"/>
    <s v=" Power BI"/>
    <n v="2018"/>
    <s v="CloudAxis"/>
    <s v="Committed to Continuous Learning"/>
    <x v="1"/>
    <n v="6188"/>
    <n v="9"/>
    <n v="6744.92"/>
  </r>
  <r>
    <x v="4"/>
    <x v="0"/>
    <s v="Energy"/>
    <s v="Singapore"/>
    <s v="Senior"/>
    <n v="16"/>
    <s v="MBA"/>
    <x v="4"/>
    <s v=" Wireframing"/>
    <m/>
    <n v="2016"/>
    <s v="BrightData"/>
    <s v="Marketing that Converts"/>
    <x v="1"/>
    <n v="11148"/>
    <n v="8"/>
    <n v="12039.84"/>
  </r>
  <r>
    <x v="6"/>
    <x v="7"/>
    <s v="Energy"/>
    <s v="Sydney, Australia"/>
    <s v="Beginner"/>
    <n v="1"/>
    <s v="B.Tech"/>
    <x v="8"/>
    <s v=" Communication"/>
    <m/>
    <n v="2017"/>
    <s v="NextGen Solutions"/>
    <s v="Passionate about Data &amp; Insights"/>
    <x v="0"/>
    <n v="5362"/>
    <n v="6"/>
    <n v="5683.72"/>
  </r>
  <r>
    <x v="6"/>
    <x v="6"/>
    <s v="Telecom"/>
    <s v="London, UK"/>
    <s v="Senior"/>
    <n v="14"/>
    <s v="B.Tech"/>
    <x v="6"/>
    <s v=" Salesforce"/>
    <s v=" Lead Generation"/>
    <n v="2010"/>
    <s v="NextGen Solutions"/>
    <s v="Innovating User Experiences"/>
    <x v="4"/>
    <n v="8470"/>
    <n v="6"/>
    <n v="8978.2000000000007"/>
  </r>
  <r>
    <x v="0"/>
    <x v="8"/>
    <s v="Energy"/>
    <s v="Berlin, Germany"/>
    <s v="Senior"/>
    <n v="13"/>
    <s v="B.Tech"/>
    <x v="9"/>
    <m/>
    <m/>
    <n v="2021"/>
    <s v="FutureWare"/>
    <s v="Helping Organizations Transform Digitally"/>
    <x v="1"/>
    <n v="9711"/>
    <n v="9"/>
    <n v="10584.990000000002"/>
  </r>
  <r>
    <x v="5"/>
    <x v="9"/>
    <s v="Consulting"/>
    <s v="Singapore"/>
    <s v="Mid-Level"/>
    <n v="8"/>
    <s v="MCA"/>
    <x v="10"/>
    <s v=" Management"/>
    <s v=" Operations"/>
    <n v="2013"/>
    <s v="CloudAxis"/>
    <s v="Marketing that Converts"/>
    <x v="4"/>
    <n v="10893"/>
    <n v="8"/>
    <n v="11764.44"/>
  </r>
  <r>
    <x v="6"/>
    <x v="0"/>
    <s v="Marketing"/>
    <s v="Sydney, Australia"/>
    <s v="Senior"/>
    <n v="16"/>
    <s v="MBA"/>
    <x v="8"/>
    <s v=" Communication"/>
    <m/>
    <n v="2022"/>
    <s v="CloudAxis"/>
    <s v="Building Scalable Tech Solutions"/>
    <x v="2"/>
    <n v="5916"/>
    <n v="7"/>
    <n v="6330.1200000000008"/>
  </r>
  <r>
    <x v="3"/>
    <x v="2"/>
    <s v="Consulting"/>
    <s v="Toronto, Canada"/>
    <s v="Beginner"/>
    <n v="3"/>
    <s v="B.Com"/>
    <x v="3"/>
    <m/>
    <m/>
    <n v="2012"/>
    <s v="Zenith Systems"/>
    <s v="Innovating User Experiences"/>
    <x v="4"/>
    <n v="10611"/>
    <n v="14"/>
    <n v="12096.54"/>
  </r>
  <r>
    <x v="7"/>
    <x v="3"/>
    <s v="Energy"/>
    <s v="Dubai, UAE"/>
    <s v="Mid-Level"/>
    <n v="7"/>
    <s v="MBA"/>
    <x v="7"/>
    <s v=" SQL"/>
    <s v=" Power BI"/>
    <n v="2018"/>
    <s v="VisionEdge"/>
    <s v="Helping Organizations Transform Digitally"/>
    <x v="4"/>
    <n v="7153"/>
    <n v="12"/>
    <n v="8011.3600000000006"/>
  </r>
  <r>
    <x v="5"/>
    <x v="3"/>
    <s v="Energy"/>
    <s v="Paris, France"/>
    <s v="Beginner"/>
    <n v="4"/>
    <s v="B.Sc"/>
    <x v="5"/>
    <s v=" Planning"/>
    <m/>
    <n v="2015"/>
    <s v="CloudAxis"/>
    <s v="Committed to Continuous Learning"/>
    <x v="4"/>
    <n v="10968"/>
    <n v="9"/>
    <n v="11955.12"/>
  </r>
  <r>
    <x v="1"/>
    <x v="8"/>
    <s v="Consulting"/>
    <s v="Dubai, UAE"/>
    <s v="Senior"/>
    <n v="16"/>
    <s v="B.Com"/>
    <x v="1"/>
    <s v=" Data Visualization"/>
    <s v=" SQL"/>
    <n v="2013"/>
    <s v="GlobalCorp"/>
    <s v="Building Scalable Tech Solutions"/>
    <x v="3"/>
    <n v="14737"/>
    <n v="25"/>
    <n v="18421.25"/>
  </r>
  <r>
    <x v="0"/>
    <x v="7"/>
    <s v="Finance"/>
    <s v="Sydney, Australia"/>
    <s v="Senior"/>
    <n v="17"/>
    <s v="B.Sc"/>
    <x v="9"/>
    <m/>
    <m/>
    <n v="2023"/>
    <s v="InnovaSoft"/>
    <s v="Committed to Continuous Learning"/>
    <x v="3"/>
    <n v="4849"/>
    <n v="8"/>
    <n v="5236.92"/>
  </r>
  <r>
    <x v="2"/>
    <x v="6"/>
    <s v="Finance"/>
    <s v="Toronto, Canada"/>
    <s v="Senior"/>
    <n v="12"/>
    <s v="B.Com"/>
    <x v="2"/>
    <s v=" React"/>
    <s v=" Node.js"/>
    <n v="2019"/>
    <s v="SmartWorks"/>
    <s v="Helping Organizations Transform Digitally"/>
    <x v="0"/>
    <n v="11280"/>
    <n v="9"/>
    <n v="12295.2"/>
  </r>
  <r>
    <x v="4"/>
    <x v="5"/>
    <s v="Marketing"/>
    <s v="Mumbai, India"/>
    <s v="Senior"/>
    <n v="11"/>
    <s v="M.Tech"/>
    <x v="11"/>
    <s v=" Figma"/>
    <s v=" Adobe XD"/>
    <n v="2015"/>
    <s v="FutureWare"/>
    <s v="Helping Organizations Transform Digitally"/>
    <x v="3"/>
    <n v="8084"/>
    <n v="6"/>
    <n v="8569.0400000000009"/>
  </r>
  <r>
    <x v="1"/>
    <x v="3"/>
    <s v="Healthcare"/>
    <s v="London, UK"/>
    <s v="Beginner"/>
    <n v="3"/>
    <s v="B.Com"/>
    <x v="12"/>
    <s v=" Machine Learning"/>
    <s v=" AI"/>
    <n v="2010"/>
    <s v="Zenith Systems"/>
    <s v="Helping Organizations Transform Digitally"/>
    <x v="4"/>
    <n v="12037"/>
    <n v="17"/>
    <n v="14083.289999999999"/>
  </r>
  <r>
    <x v="3"/>
    <x v="0"/>
    <s v="Education"/>
    <s v="London, UK"/>
    <s v="Beginner"/>
    <n v="3"/>
    <s v="M.Sc"/>
    <x v="13"/>
    <s v=" Scrum"/>
    <s v=" Project Planning"/>
    <n v="2013"/>
    <s v="GlobalCorp"/>
    <s v="Empowering Teams"/>
    <x v="0"/>
    <n v="9944"/>
    <n v="13"/>
    <n v="11236.72"/>
  </r>
  <r>
    <x v="6"/>
    <x v="0"/>
    <s v="Manufacturing"/>
    <s v="New York, USA"/>
    <s v="Senior"/>
    <n v="13"/>
    <s v="BBA"/>
    <x v="6"/>
    <s v=" Salesforce"/>
    <s v=" Lead Generation"/>
    <n v="2014"/>
    <s v="TechNova"/>
    <s v="Driving Business Growth"/>
    <x v="0"/>
    <n v="6904"/>
    <n v="7"/>
    <n v="7387.2800000000007"/>
  </r>
  <r>
    <x v="4"/>
    <x v="8"/>
    <s v="Retail"/>
    <s v="Toronto, Canada"/>
    <s v="Senior"/>
    <n v="17"/>
    <s v="M.Tech"/>
    <x v="11"/>
    <s v=" Figma"/>
    <s v=" Adobe XD"/>
    <n v="2013"/>
    <s v="InnovaSoft"/>
    <s v="Innovating User Experiences"/>
    <x v="3"/>
    <n v="8301"/>
    <n v="5"/>
    <n v="8716.0500000000011"/>
  </r>
  <r>
    <x v="4"/>
    <x v="5"/>
    <s v="Marketing"/>
    <s v="Mumbai, India"/>
    <s v="Senior"/>
    <n v="13"/>
    <s v="PhD"/>
    <x v="11"/>
    <s v=" Figma"/>
    <s v=" Adobe XD"/>
    <n v="2018"/>
    <s v="TechNova"/>
    <s v="Innovating User Experiences"/>
    <x v="1"/>
    <n v="9804"/>
    <n v="12"/>
    <n v="10980.480000000001"/>
  </r>
  <r>
    <x v="2"/>
    <x v="3"/>
    <s v="Retail"/>
    <s v="Toronto, Canada"/>
    <s v="Mid-Level"/>
    <n v="10"/>
    <s v="MCA"/>
    <x v="2"/>
    <s v=" React"/>
    <s v=" Node.js"/>
    <n v="2018"/>
    <s v="GlobalCorp"/>
    <s v="Marketing that Converts"/>
    <x v="4"/>
    <n v="13850"/>
    <n v="9"/>
    <n v="15096.500000000002"/>
  </r>
  <r>
    <x v="5"/>
    <x v="2"/>
    <s v="Telecom"/>
    <s v="Doha, Qatar"/>
    <s v="Senior"/>
    <n v="14"/>
    <s v="B.Com"/>
    <x v="10"/>
    <s v=" Management"/>
    <s v=" Operations"/>
    <n v="2021"/>
    <s v="Zenith Systems"/>
    <s v="Empowering Teams"/>
    <x v="3"/>
    <n v="8998"/>
    <n v="7"/>
    <n v="9627.86"/>
  </r>
  <r>
    <x v="8"/>
    <x v="3"/>
    <s v="Consulting"/>
    <s v="Singapore"/>
    <s v="Mid-Level"/>
    <n v="10"/>
    <s v="MCA"/>
    <x v="14"/>
    <s v=" HR Analytics"/>
    <s v=" Payroll"/>
    <n v="2022"/>
    <s v="SmartWorks"/>
    <s v="Marketing that Converts"/>
    <x v="2"/>
    <n v="7411"/>
    <n v="6"/>
    <n v="7855.6600000000008"/>
  </r>
  <r>
    <x v="5"/>
    <x v="4"/>
    <s v="Technology"/>
    <s v="New York, USA"/>
    <s v="Senior"/>
    <n v="17"/>
    <s v="M.Sc"/>
    <x v="5"/>
    <s v=" Planning"/>
    <m/>
    <n v="2025"/>
    <s v="SmartWorks"/>
    <s v="Building Scalable Tech Solutions"/>
    <x v="4"/>
    <n v="13057"/>
    <n v="9"/>
    <n v="14232.130000000001"/>
  </r>
  <r>
    <x v="6"/>
    <x v="7"/>
    <s v="Marketing"/>
    <s v="Sydney, Australia"/>
    <s v="Senior"/>
    <n v="13"/>
    <s v="BBA"/>
    <x v="8"/>
    <s v=" Communication"/>
    <m/>
    <n v="2023"/>
    <s v="SmartWorks"/>
    <s v="Empowering Teams"/>
    <x v="2"/>
    <n v="3025"/>
    <n v="7"/>
    <n v="3236.75"/>
  </r>
  <r>
    <x v="5"/>
    <x v="5"/>
    <s v="Technology"/>
    <s v="Mumbai, India"/>
    <s v="Beginner"/>
    <n v="3"/>
    <s v="B.Sc"/>
    <x v="5"/>
    <s v=" Planning"/>
    <m/>
    <n v="2010"/>
    <s v="Zenith Systems"/>
    <s v="Building Scalable Tech Solutions"/>
    <x v="4"/>
    <n v="7977"/>
    <n v="9"/>
    <n v="8694.93"/>
  </r>
  <r>
    <x v="3"/>
    <x v="1"/>
    <s v="Technology"/>
    <s v="Sydney, Australia"/>
    <s v="Mid-Level"/>
    <n v="6"/>
    <s v="B.Tech"/>
    <x v="13"/>
    <s v=" Scrum"/>
    <s v=" Project Planning"/>
    <n v="2024"/>
    <s v="NextGen Solutions"/>
    <s v="Innovating User Experiences"/>
    <x v="4"/>
    <n v="14556"/>
    <n v="17"/>
    <n v="17030.52"/>
  </r>
  <r>
    <x v="2"/>
    <x v="6"/>
    <s v="Retail"/>
    <s v="London, UK"/>
    <s v="Senior"/>
    <n v="19"/>
    <s v="B.Sc"/>
    <x v="12"/>
    <s v=" Java"/>
    <s v=" C++"/>
    <n v="2014"/>
    <s v="InnovaSoft"/>
    <s v="Empowering Teams"/>
    <x v="0"/>
    <n v="8819"/>
    <n v="9"/>
    <n v="9612.7100000000009"/>
  </r>
  <r>
    <x v="6"/>
    <x v="7"/>
    <s v="Manufacturing"/>
    <s v="London, UK"/>
    <s v="Senior"/>
    <n v="13"/>
    <s v="B.Com"/>
    <x v="6"/>
    <s v=" Salesforce"/>
    <s v=" Lead Generation"/>
    <n v="2012"/>
    <s v="Zenith Systems"/>
    <s v="Helping Organizations Transform Digitally"/>
    <x v="2"/>
    <n v="4982"/>
    <n v="5"/>
    <n v="5231.1000000000004"/>
  </r>
  <r>
    <x v="4"/>
    <x v="2"/>
    <s v="Consulting"/>
    <s v="Paris, France"/>
    <s v="Beginner"/>
    <n v="2"/>
    <s v="B.Tech"/>
    <x v="11"/>
    <s v=" Figma"/>
    <s v=" Adobe XD"/>
    <n v="2020"/>
    <s v="TechNova"/>
    <s v="Empowering Teams"/>
    <x v="1"/>
    <n v="7391"/>
    <n v="5"/>
    <n v="7760.55"/>
  </r>
  <r>
    <x v="3"/>
    <x v="8"/>
    <s v="Healthcare"/>
    <s v="Berlin, Germany"/>
    <s v="Senior"/>
    <n v="16"/>
    <s v="B.Tech"/>
    <x v="13"/>
    <s v=" Scrum"/>
    <s v=" Project Planning"/>
    <n v="2019"/>
    <s v="NextGen Solutions"/>
    <s v="Committed to Continuous Learning"/>
    <x v="4"/>
    <n v="14663"/>
    <n v="11"/>
    <n v="16275.930000000002"/>
  </r>
  <r>
    <x v="4"/>
    <x v="4"/>
    <s v="Manufacturing"/>
    <s v="Singapore"/>
    <s v="Senior"/>
    <n v="19"/>
    <s v="MBA"/>
    <x v="11"/>
    <s v=" Figma"/>
    <s v=" Adobe XD"/>
    <n v="2016"/>
    <s v="BrightData"/>
    <s v="Helping Organizations Transform Digitally"/>
    <x v="4"/>
    <n v="5215"/>
    <n v="12"/>
    <n v="5840.8"/>
  </r>
  <r>
    <x v="1"/>
    <x v="7"/>
    <s v="Education"/>
    <s v="London, UK"/>
    <s v="Senior"/>
    <n v="17"/>
    <s v="M.Sc"/>
    <x v="1"/>
    <s v=" Data Visualization"/>
    <s v=" SQL"/>
    <n v="2018"/>
    <s v="GlobalCorp"/>
    <s v="Marketing that Converts"/>
    <x v="2"/>
    <n v="16324"/>
    <n v="19"/>
    <n v="19425.559999999998"/>
  </r>
  <r>
    <x v="8"/>
    <x v="0"/>
    <s v="Healthcare"/>
    <s v="London, UK"/>
    <s v="Senior"/>
    <n v="18"/>
    <s v="B.Tech"/>
    <x v="14"/>
    <s v=" HR Analytics"/>
    <s v=" Payroll"/>
    <n v="2014"/>
    <s v="GlobalCorp"/>
    <s v="Building Scalable Tech Solutions"/>
    <x v="2"/>
    <n v="10515"/>
    <n v="8"/>
    <n v="11356.2"/>
  </r>
  <r>
    <x v="4"/>
    <x v="3"/>
    <s v="Finance"/>
    <s v="Doha, Qatar"/>
    <s v="Mid-Level"/>
    <n v="7"/>
    <s v="B.Sc"/>
    <x v="11"/>
    <s v=" Figma"/>
    <s v=" Adobe XD"/>
    <n v="2012"/>
    <s v="InnovaSoft"/>
    <s v="Committed to Continuous Learning"/>
    <x v="3"/>
    <n v="11806"/>
    <n v="9"/>
    <n v="12868.54"/>
  </r>
  <r>
    <x v="0"/>
    <x v="4"/>
    <s v="Healthcare"/>
    <s v="Berlin, Germany"/>
    <s v="Mid-Level"/>
    <n v="7"/>
    <s v="B.Com"/>
    <x v="0"/>
    <s v=" Google Ads"/>
    <s v=" Content Marketing"/>
    <n v="2018"/>
    <s v="Zenith Systems"/>
    <s v="Driving Business Growth"/>
    <x v="3"/>
    <n v="5683"/>
    <n v="5"/>
    <n v="5967.1500000000005"/>
  </r>
  <r>
    <x v="4"/>
    <x v="2"/>
    <s v="Consulting"/>
    <s v="Paris, France"/>
    <s v="Senior"/>
    <n v="11"/>
    <s v="PhD"/>
    <x v="4"/>
    <s v=" Wireframing"/>
    <m/>
    <n v="2023"/>
    <s v="SmartWorks"/>
    <s v="Passionate about Data &amp; Insights"/>
    <x v="0"/>
    <n v="7619"/>
    <n v="10"/>
    <n v="8380.9000000000015"/>
  </r>
  <r>
    <x v="9"/>
    <x v="2"/>
    <s v="Telecom"/>
    <s v="Toronto, Canada"/>
    <s v="Senior"/>
    <n v="19"/>
    <s v="MCA"/>
    <x v="15"/>
    <s v=" Excel"/>
    <s v=" Forecasting"/>
    <n v="2021"/>
    <s v="VisionEdge"/>
    <s v="Building Scalable Tech Solutions"/>
    <x v="0"/>
    <n v="12904"/>
    <n v="9"/>
    <n v="14065.36"/>
  </r>
  <r>
    <x v="1"/>
    <x v="9"/>
    <s v="Consulting"/>
    <s v="Singapore"/>
    <s v="Mid-Level"/>
    <n v="8"/>
    <s v="B.Com"/>
    <x v="1"/>
    <s v=" Data Visualization"/>
    <s v=" SQL"/>
    <n v="2020"/>
    <s v="BrightData"/>
    <s v="Marketing that Converts"/>
    <x v="1"/>
    <n v="12124"/>
    <n v="14"/>
    <n v="13821.360000000002"/>
  </r>
  <r>
    <x v="9"/>
    <x v="1"/>
    <s v="Marketing"/>
    <s v="Mumbai, India"/>
    <s v="Beginner"/>
    <n v="3"/>
    <s v="M.Tech"/>
    <x v="16"/>
    <m/>
    <m/>
    <n v="2015"/>
    <s v="NextGen Solutions"/>
    <s v="Turning Data into Strategy"/>
    <x v="0"/>
    <n v="9661"/>
    <n v="10"/>
    <n v="10627.1"/>
  </r>
  <r>
    <x v="5"/>
    <x v="8"/>
    <s v="Retail"/>
    <s v="Doha, Qatar"/>
    <s v="Senior"/>
    <n v="11"/>
    <s v="PhD"/>
    <x v="10"/>
    <s v=" Management"/>
    <s v=" Operations"/>
    <n v="2012"/>
    <s v="GlobalCorp"/>
    <s v="Helping Organizations Transform Digitally"/>
    <x v="1"/>
    <n v="7091"/>
    <n v="12"/>
    <n v="7941.920000000001"/>
  </r>
  <r>
    <x v="9"/>
    <x v="7"/>
    <s v="Manufacturing"/>
    <s v="New York, USA"/>
    <s v="Mid-Level"/>
    <n v="5"/>
    <s v="BBA"/>
    <x v="15"/>
    <s v=" Excel"/>
    <s v=" Forecasting"/>
    <n v="2022"/>
    <s v="NextGen Solutions"/>
    <s v="Committed to Continuous Learning"/>
    <x v="3"/>
    <n v="9433"/>
    <n v="10"/>
    <n v="10376.300000000001"/>
  </r>
  <r>
    <x v="4"/>
    <x v="6"/>
    <s v="Manufacturing"/>
    <s v="Mumbai, India"/>
    <s v="Beginner"/>
    <n v="2"/>
    <s v="M.Tech"/>
    <x v="11"/>
    <s v=" Figma"/>
    <s v=" Adobe XD"/>
    <n v="2018"/>
    <s v="SmartWorks"/>
    <s v="Innovating User Experiences"/>
    <x v="3"/>
    <n v="5010"/>
    <n v="11"/>
    <n v="5561.1"/>
  </r>
  <r>
    <x v="3"/>
    <x v="5"/>
    <s v="Technology"/>
    <s v="Doha, Qatar"/>
    <s v="Senior"/>
    <n v="16"/>
    <s v="MCA"/>
    <x v="3"/>
    <m/>
    <m/>
    <n v="2014"/>
    <s v="TechNova"/>
    <s v="Building Scalable Tech Solutions"/>
    <x v="4"/>
    <n v="13331"/>
    <n v="12"/>
    <n v="14930.720000000001"/>
  </r>
  <r>
    <x v="3"/>
    <x v="2"/>
    <s v="Telecom"/>
    <s v="Mumbai, India"/>
    <s v="Mid-Level"/>
    <n v="9"/>
    <s v="MCA"/>
    <x v="13"/>
    <s v=" Scrum"/>
    <s v=" Project Planning"/>
    <n v="2016"/>
    <s v="GlobalCorp"/>
    <s v="Driving Business Growth"/>
    <x v="0"/>
    <n v="12237"/>
    <n v="18"/>
    <n v="14439.66"/>
  </r>
  <r>
    <x v="0"/>
    <x v="7"/>
    <s v="Finance"/>
    <s v="Toronto, Canada"/>
    <s v="Mid-Level"/>
    <n v="5"/>
    <s v="BBA"/>
    <x v="0"/>
    <s v=" Google Ads"/>
    <s v=" Content Marketing"/>
    <n v="2021"/>
    <s v="SmartWorks"/>
    <s v="Empowering Teams"/>
    <x v="2"/>
    <n v="6144"/>
    <n v="5"/>
    <n v="6451.2000000000007"/>
  </r>
  <r>
    <x v="1"/>
    <x v="9"/>
    <s v="Manufacturing"/>
    <s v="New York, USA"/>
    <s v="Mid-Level"/>
    <n v="5"/>
    <s v="B.Com"/>
    <x v="1"/>
    <s v=" Data Visualization"/>
    <s v=" SQL"/>
    <n v="2022"/>
    <s v="NextGen Solutions"/>
    <s v="Innovating User Experiences"/>
    <x v="4"/>
    <n v="10330"/>
    <n v="24"/>
    <n v="12809.2"/>
  </r>
  <r>
    <x v="7"/>
    <x v="2"/>
    <s v="Marketing"/>
    <s v="New York, USA"/>
    <s v="Beginner"/>
    <n v="3"/>
    <s v="B.Com"/>
    <x v="12"/>
    <s v=" SQL"/>
    <s v=" Tableau"/>
    <n v="2023"/>
    <s v="NextGen Solutions"/>
    <s v="Empowering Teams"/>
    <x v="4"/>
    <n v="10649"/>
    <n v="14"/>
    <n v="12139.86"/>
  </r>
  <r>
    <x v="0"/>
    <x v="0"/>
    <s v="Consulting"/>
    <s v="Singapore"/>
    <s v="Senior"/>
    <n v="17"/>
    <s v="B.Tech"/>
    <x v="9"/>
    <m/>
    <m/>
    <n v="2023"/>
    <s v="SmartWorks"/>
    <s v="Empowering Teams"/>
    <x v="4"/>
    <n v="7326"/>
    <n v="12"/>
    <n v="8205.1200000000008"/>
  </r>
  <r>
    <x v="7"/>
    <x v="6"/>
    <s v="Finance"/>
    <s v="Mumbai, India"/>
    <s v="Senior"/>
    <n v="12"/>
    <s v="MBA"/>
    <x v="12"/>
    <s v=" SQL"/>
    <s v=" Tableau"/>
    <n v="2024"/>
    <s v="TechNova"/>
    <s v="Passionate about Data &amp; Insights"/>
    <x v="1"/>
    <n v="9392"/>
    <n v="6"/>
    <n v="9955.52"/>
  </r>
  <r>
    <x v="1"/>
    <x v="5"/>
    <s v="Consulting"/>
    <s v="New York, USA"/>
    <s v="Senior"/>
    <n v="14"/>
    <s v="MBA"/>
    <x v="12"/>
    <s v=" Machine Learning"/>
    <s v=" AI"/>
    <n v="2021"/>
    <s v="GlobalCorp"/>
    <s v="Innovating User Experiences"/>
    <x v="0"/>
    <n v="14126"/>
    <n v="10"/>
    <n v="15538.6"/>
  </r>
  <r>
    <x v="6"/>
    <x v="2"/>
    <s v="Finance"/>
    <s v="Doha, Qatar"/>
    <s v="Mid-Level"/>
    <n v="5"/>
    <s v="B.Sc"/>
    <x v="8"/>
    <s v=" Communication"/>
    <m/>
    <n v="2020"/>
    <s v="BrightData"/>
    <s v="Committed to Continuous Learning"/>
    <x v="0"/>
    <n v="6621"/>
    <n v="4"/>
    <n v="6885.84"/>
  </r>
  <r>
    <x v="5"/>
    <x v="7"/>
    <s v="Energy"/>
    <s v="Doha, Qatar"/>
    <s v="Beginner"/>
    <n v="4"/>
    <s v="B.Com"/>
    <x v="5"/>
    <s v=" Planning"/>
    <m/>
    <n v="2024"/>
    <s v="CloudAxis"/>
    <s v="Helping Organizations Transform Digitally"/>
    <x v="3"/>
    <n v="8184"/>
    <n v="7"/>
    <n v="8756.880000000001"/>
  </r>
  <r>
    <x v="4"/>
    <x v="2"/>
    <s v="Consulting"/>
    <s v="London, UK"/>
    <s v="Mid-Level"/>
    <n v="10"/>
    <s v="M.Sc"/>
    <x v="4"/>
    <s v=" Wireframing"/>
    <m/>
    <n v="2023"/>
    <s v="GlobalCorp"/>
    <s v="Turning Data into Strategy"/>
    <x v="3"/>
    <n v="10836"/>
    <n v="9"/>
    <n v="11811.240000000002"/>
  </r>
  <r>
    <x v="8"/>
    <x v="2"/>
    <s v="Marketing"/>
    <s v="London, UK"/>
    <s v="Senior"/>
    <n v="18"/>
    <s v="BBA"/>
    <x v="14"/>
    <s v=" HR Analytics"/>
    <s v=" Payroll"/>
    <n v="2024"/>
    <s v="FutureWare"/>
    <s v="Committed to Continuous Learning"/>
    <x v="4"/>
    <n v="7059"/>
    <n v="7"/>
    <n v="7553.13"/>
  </r>
  <r>
    <x v="2"/>
    <x v="2"/>
    <s v="Marketing"/>
    <s v="Singapore"/>
    <s v="Senior"/>
    <n v="14"/>
    <s v="MCA"/>
    <x v="2"/>
    <s v=" React"/>
    <s v=" Node.js"/>
    <n v="2024"/>
    <s v="Zenith Systems"/>
    <s v="Focused on Data-Driven Decisions"/>
    <x v="1"/>
    <n v="8300"/>
    <n v="17"/>
    <n v="9711"/>
  </r>
  <r>
    <x v="0"/>
    <x v="1"/>
    <s v="Telecom"/>
    <s v="London, UK"/>
    <s v="Mid-Level"/>
    <n v="10"/>
    <s v="BBA"/>
    <x v="0"/>
    <s v=" Google Ads"/>
    <s v=" Content Marketing"/>
    <n v="2016"/>
    <s v="InnovaSoft"/>
    <s v="Helping Organizations Transform Digitally"/>
    <x v="1"/>
    <n v="6141"/>
    <n v="11"/>
    <n v="6816.51"/>
  </r>
  <r>
    <x v="3"/>
    <x v="5"/>
    <s v="Marketing"/>
    <s v="London, UK"/>
    <s v="Senior"/>
    <n v="14"/>
    <s v="B.Sc"/>
    <x v="13"/>
    <s v=" Scrum"/>
    <s v=" Project Planning"/>
    <n v="2022"/>
    <s v="FutureWare"/>
    <s v="Turning Data into Strategy"/>
    <x v="2"/>
    <n v="12061"/>
    <n v="14"/>
    <n v="13749.54"/>
  </r>
  <r>
    <x v="1"/>
    <x v="1"/>
    <s v="Healthcare"/>
    <s v="Paris, France"/>
    <s v="Senior"/>
    <n v="11"/>
    <s v="MCA"/>
    <x v="1"/>
    <s v=" Data Visualization"/>
    <s v=" SQL"/>
    <n v="2014"/>
    <s v="GlobalCorp"/>
    <s v="Driving Business Growth"/>
    <x v="1"/>
    <n v="11990"/>
    <n v="16"/>
    <n v="13908.4"/>
  </r>
  <r>
    <x v="3"/>
    <x v="3"/>
    <s v="Telecom"/>
    <s v="Mumbai, India"/>
    <s v="Senior"/>
    <n v="14"/>
    <s v="M.Tech"/>
    <x v="13"/>
    <s v=" Scrum"/>
    <s v=" Project Planning"/>
    <n v="2016"/>
    <s v="Zenith Systems"/>
    <s v="Marketing that Converts"/>
    <x v="1"/>
    <n v="10728"/>
    <n v="11"/>
    <n v="11908.080000000002"/>
  </r>
  <r>
    <x v="1"/>
    <x v="0"/>
    <s v="Telecom"/>
    <s v="London, UK"/>
    <s v="Senior"/>
    <n v="13"/>
    <s v="PhD"/>
    <x v="12"/>
    <s v=" Machine Learning"/>
    <s v=" AI"/>
    <n v="2013"/>
    <s v="GlobalCorp"/>
    <s v="Driving Business Growth"/>
    <x v="0"/>
    <n v="17918"/>
    <n v="20"/>
    <n v="21501.599999999999"/>
  </r>
  <r>
    <x v="9"/>
    <x v="6"/>
    <s v="Telecom"/>
    <s v="Paris, France"/>
    <s v="Mid-Level"/>
    <n v="5"/>
    <s v="B.Sc"/>
    <x v="16"/>
    <m/>
    <m/>
    <n v="2017"/>
    <s v="SmartWorks"/>
    <s v="Innovating User Experiences"/>
    <x v="2"/>
    <n v="11031"/>
    <n v="8"/>
    <n v="11913.480000000001"/>
  </r>
  <r>
    <x v="2"/>
    <x v="7"/>
    <s v="Manufacturing"/>
    <s v="Paris, France"/>
    <s v="Beginner"/>
    <n v="2"/>
    <s v="B.Tech"/>
    <x v="2"/>
    <s v=" React"/>
    <s v=" Node.js"/>
    <n v="2010"/>
    <s v="TechNova"/>
    <s v="Innovating User Experiences"/>
    <x v="2"/>
    <n v="11408"/>
    <n v="8"/>
    <n v="12320.640000000001"/>
  </r>
  <r>
    <x v="9"/>
    <x v="4"/>
    <s v="Finance"/>
    <s v="Dubai, UAE"/>
    <s v="Beginner"/>
    <n v="3"/>
    <s v="MBA"/>
    <x v="15"/>
    <s v=" Excel"/>
    <s v=" Forecasting"/>
    <n v="2016"/>
    <s v="Zenith Systems"/>
    <s v="Focused on Data-Driven Decisions"/>
    <x v="2"/>
    <n v="10556"/>
    <n v="12"/>
    <n v="11822.720000000001"/>
  </r>
  <r>
    <x v="8"/>
    <x v="7"/>
    <s v="Consulting"/>
    <s v="Doha, Qatar"/>
    <s v="Senior"/>
    <n v="18"/>
    <s v="B.Sc"/>
    <x v="17"/>
    <s v=" HRIS"/>
    <m/>
    <n v="2014"/>
    <s v="GlobalCorp"/>
    <s v="Building Scalable Tech Solutions"/>
    <x v="0"/>
    <n v="9160"/>
    <n v="7"/>
    <n v="9801.2000000000007"/>
  </r>
  <r>
    <x v="5"/>
    <x v="8"/>
    <s v="Education"/>
    <s v="Mumbai, India"/>
    <s v="Senior"/>
    <n v="18"/>
    <s v="MBA"/>
    <x v="5"/>
    <s v=" Planning"/>
    <m/>
    <n v="2011"/>
    <s v="GlobalCorp"/>
    <s v="Driving Business Growth"/>
    <x v="0"/>
    <n v="12254"/>
    <n v="12"/>
    <n v="13724.480000000001"/>
  </r>
  <r>
    <x v="4"/>
    <x v="5"/>
    <s v="Marketing"/>
    <s v="London, UK"/>
    <s v="Mid-Level"/>
    <n v="6"/>
    <s v="B.Com"/>
    <x v="4"/>
    <s v=" Wireframing"/>
    <m/>
    <n v="2013"/>
    <s v="CloudAxis"/>
    <s v="Turning Data into Strategy"/>
    <x v="2"/>
    <n v="10678"/>
    <n v="7"/>
    <n v="11425.460000000001"/>
  </r>
  <r>
    <x v="4"/>
    <x v="6"/>
    <s v="Manufacturing"/>
    <s v="Paris, France"/>
    <s v="Mid-Level"/>
    <n v="8"/>
    <s v="PhD"/>
    <x v="11"/>
    <s v=" Figma"/>
    <s v=" Adobe XD"/>
    <n v="2016"/>
    <s v="InnovaSoft"/>
    <s v="Helping Organizations Transform Digitally"/>
    <x v="1"/>
    <n v="8368"/>
    <n v="12"/>
    <n v="9372.1600000000017"/>
  </r>
  <r>
    <x v="2"/>
    <x v="9"/>
    <s v="Manufacturing"/>
    <s v="Singapore"/>
    <s v="Mid-Level"/>
    <n v="8"/>
    <s v="B.Com"/>
    <x v="12"/>
    <s v=" Java"/>
    <s v=" C++"/>
    <n v="2025"/>
    <s v="SmartWorks"/>
    <s v="Innovating User Experiences"/>
    <x v="0"/>
    <n v="14006"/>
    <n v="11"/>
    <n v="15546.660000000002"/>
  </r>
  <r>
    <x v="3"/>
    <x v="6"/>
    <s v="Marketing"/>
    <s v="Paris, France"/>
    <s v="Senior"/>
    <n v="15"/>
    <s v="B.Sc"/>
    <x v="3"/>
    <m/>
    <m/>
    <n v="2024"/>
    <s v="Zenith Systems"/>
    <s v="Driving Business Growth"/>
    <x v="1"/>
    <n v="11247"/>
    <n v="14"/>
    <n v="12821.580000000002"/>
  </r>
  <r>
    <x v="1"/>
    <x v="4"/>
    <s v="Marketing"/>
    <s v="Singapore"/>
    <s v="Senior"/>
    <n v="11"/>
    <s v="B.Sc"/>
    <x v="1"/>
    <s v=" Data Visualization"/>
    <s v=" SQL"/>
    <n v="2021"/>
    <s v="GlobalCorp"/>
    <s v="Passionate about Data &amp; Insights"/>
    <x v="0"/>
    <n v="11727"/>
    <n v="25"/>
    <n v="14658.75"/>
  </r>
  <r>
    <x v="8"/>
    <x v="2"/>
    <s v="Education"/>
    <s v="Dubai, UAE"/>
    <s v="Senior"/>
    <n v="12"/>
    <s v="BBA"/>
    <x v="14"/>
    <s v=" HR Analytics"/>
    <s v=" Payroll"/>
    <n v="2018"/>
    <s v="VisionEdge"/>
    <s v="Marketing that Converts"/>
    <x v="0"/>
    <n v="6384"/>
    <n v="12"/>
    <n v="7150.0800000000008"/>
  </r>
  <r>
    <x v="3"/>
    <x v="8"/>
    <s v="Consulting"/>
    <s v="Berlin, Germany"/>
    <s v="Beginner"/>
    <n v="2"/>
    <s v="B.Com"/>
    <x v="3"/>
    <m/>
    <m/>
    <n v="2015"/>
    <s v="Zenith Systems"/>
    <s v="Marketing that Converts"/>
    <x v="2"/>
    <n v="12896"/>
    <n v="10"/>
    <n v="14185.6"/>
  </r>
  <r>
    <x v="8"/>
    <x v="4"/>
    <s v="Marketing"/>
    <s v="Berlin, Germany"/>
    <s v="Beginner"/>
    <n v="3"/>
    <s v="M.Tech"/>
    <x v="17"/>
    <s v=" HRIS"/>
    <m/>
    <n v="2013"/>
    <s v="InnovaSoft"/>
    <s v="Driving Business Growth"/>
    <x v="0"/>
    <n v="10750"/>
    <n v="12"/>
    <n v="12040.000000000002"/>
  </r>
  <r>
    <x v="0"/>
    <x v="4"/>
    <s v="Retail"/>
    <s v="Mumbai, India"/>
    <s v="Senior"/>
    <n v="13"/>
    <s v="M.Sc"/>
    <x v="9"/>
    <m/>
    <m/>
    <n v="2019"/>
    <s v="CloudAxis"/>
    <s v="Marketing that Converts"/>
    <x v="3"/>
    <n v="9099"/>
    <n v="12"/>
    <n v="10190.880000000001"/>
  </r>
  <r>
    <x v="2"/>
    <x v="1"/>
    <s v="Marketing"/>
    <s v="Singapore"/>
    <s v="Senior"/>
    <n v="12"/>
    <s v="MBA"/>
    <x v="2"/>
    <s v=" React"/>
    <s v=" Node.js"/>
    <n v="2025"/>
    <s v="Zenith Systems"/>
    <s v="Marketing that Converts"/>
    <x v="2"/>
    <n v="9031"/>
    <n v="15"/>
    <n v="10385.65"/>
  </r>
  <r>
    <x v="0"/>
    <x v="2"/>
    <s v="Consulting"/>
    <s v="Doha, Qatar"/>
    <s v="Senior"/>
    <n v="13"/>
    <s v="B.Com"/>
    <x v="9"/>
    <m/>
    <m/>
    <n v="2017"/>
    <s v="InnovaSoft"/>
    <s v="Marketing that Converts"/>
    <x v="3"/>
    <n v="4625"/>
    <n v="7"/>
    <n v="4948.75"/>
  </r>
  <r>
    <x v="8"/>
    <x v="8"/>
    <s v="Manufacturing"/>
    <s v="Berlin, Germany"/>
    <s v="Beginner"/>
    <n v="2"/>
    <s v="M.Sc"/>
    <x v="17"/>
    <s v=" HRIS"/>
    <m/>
    <n v="2015"/>
    <s v="VisionEdge"/>
    <s v="Focused on Data-Driven Decisions"/>
    <x v="1"/>
    <n v="8003"/>
    <n v="12"/>
    <n v="8963.36"/>
  </r>
  <r>
    <x v="6"/>
    <x v="0"/>
    <s v="Manufacturing"/>
    <s v="New York, USA"/>
    <s v="Mid-Level"/>
    <n v="8"/>
    <s v="B.Sc"/>
    <x v="8"/>
    <s v=" Communication"/>
    <m/>
    <n v="2013"/>
    <s v="SmartWorks"/>
    <s v="Innovating User Experiences"/>
    <x v="2"/>
    <n v="8007"/>
    <n v="5"/>
    <n v="8407.35"/>
  </r>
  <r>
    <x v="9"/>
    <x v="9"/>
    <s v="Technology"/>
    <s v="Toronto, Canada"/>
    <s v="Beginner"/>
    <n v="1"/>
    <s v="PhD"/>
    <x v="16"/>
    <m/>
    <m/>
    <n v="2019"/>
    <s v="TechNova"/>
    <s v="Committed to Continuous Learning"/>
    <x v="4"/>
    <n v="7611"/>
    <n v="6"/>
    <n v="8067.6600000000008"/>
  </r>
  <r>
    <x v="1"/>
    <x v="6"/>
    <s v="Finance"/>
    <s v="Doha, Qatar"/>
    <s v="Senior"/>
    <n v="13"/>
    <s v="M.Sc"/>
    <x v="12"/>
    <s v=" Machine Learning"/>
    <s v=" AI"/>
    <n v="2013"/>
    <s v="VisionEdge"/>
    <s v="Driving Business Growth"/>
    <x v="3"/>
    <n v="10817"/>
    <n v="11"/>
    <n v="12006.87"/>
  </r>
  <r>
    <x v="0"/>
    <x v="7"/>
    <s v="Education"/>
    <s v="Mumbai, India"/>
    <s v="Senior"/>
    <n v="19"/>
    <s v="M.Tech"/>
    <x v="9"/>
    <m/>
    <m/>
    <n v="2025"/>
    <s v="TechNova"/>
    <s v="Focused on Data-Driven Decisions"/>
    <x v="1"/>
    <n v="7196"/>
    <n v="6"/>
    <n v="7627.76"/>
  </r>
  <r>
    <x v="9"/>
    <x v="5"/>
    <s v="Energy"/>
    <s v="Paris, France"/>
    <s v="Senior"/>
    <n v="11"/>
    <s v="BBA"/>
    <x v="16"/>
    <m/>
    <m/>
    <n v="2010"/>
    <s v="BrightData"/>
    <s v="Empowering Teams"/>
    <x v="4"/>
    <n v="11743"/>
    <n v="7"/>
    <n v="12565.01"/>
  </r>
  <r>
    <x v="4"/>
    <x v="5"/>
    <s v="Education"/>
    <s v="Mumbai, India"/>
    <s v="Senior"/>
    <n v="12"/>
    <s v="B.Tech"/>
    <x v="4"/>
    <s v=" Wireframing"/>
    <m/>
    <n v="2010"/>
    <s v="TechNova"/>
    <s v="Empowering Teams"/>
    <x v="1"/>
    <n v="6640"/>
    <n v="5"/>
    <n v="6972"/>
  </r>
  <r>
    <x v="2"/>
    <x v="5"/>
    <s v="Marketing"/>
    <s v="Berlin, Germany"/>
    <s v="Senior"/>
    <n v="13"/>
    <s v="BBA"/>
    <x v="12"/>
    <s v=" Java"/>
    <s v=" C++"/>
    <n v="2017"/>
    <s v="TechNova"/>
    <s v="Empowering Teams"/>
    <x v="1"/>
    <n v="14208"/>
    <n v="13"/>
    <n v="16055.039999999999"/>
  </r>
  <r>
    <x v="8"/>
    <x v="6"/>
    <s v="Consulting"/>
    <s v="Dubai, UAE"/>
    <s v="Mid-Level"/>
    <n v="8"/>
    <s v="MBA"/>
    <x v="17"/>
    <s v=" HRIS"/>
    <m/>
    <n v="2017"/>
    <s v="FutureWare"/>
    <s v="Marketing that Converts"/>
    <x v="3"/>
    <n v="10141"/>
    <n v="8"/>
    <n v="10952.28"/>
  </r>
  <r>
    <x v="4"/>
    <x v="8"/>
    <s v="Consulting"/>
    <s v="Paris, France"/>
    <s v="Senior"/>
    <n v="18"/>
    <s v="B.Sc"/>
    <x v="4"/>
    <s v=" Wireframing"/>
    <m/>
    <n v="2014"/>
    <s v="Zenith Systems"/>
    <s v="Building Scalable Tech Solutions"/>
    <x v="4"/>
    <n v="6428"/>
    <n v="10"/>
    <n v="7070.8"/>
  </r>
  <r>
    <x v="3"/>
    <x v="9"/>
    <s v="Consulting"/>
    <s v="Singapore"/>
    <s v="Beginner"/>
    <n v="1"/>
    <s v="MBA"/>
    <x v="3"/>
    <m/>
    <m/>
    <n v="2013"/>
    <s v="GlobalCorp"/>
    <s v="Focused on Data-Driven Decisions"/>
    <x v="3"/>
    <n v="15380"/>
    <n v="18"/>
    <n v="18148.399999999998"/>
  </r>
  <r>
    <x v="2"/>
    <x v="4"/>
    <s v="Telecom"/>
    <s v="Singapore"/>
    <s v="Senior"/>
    <n v="11"/>
    <s v="PhD"/>
    <x v="2"/>
    <s v=" React"/>
    <s v=" Node.js"/>
    <n v="2017"/>
    <s v="FutureWare"/>
    <s v="Helping Organizations Transform Digitally"/>
    <x v="0"/>
    <n v="14520"/>
    <n v="9"/>
    <n v="15826.800000000001"/>
  </r>
  <r>
    <x v="2"/>
    <x v="7"/>
    <s v="Education"/>
    <s v="Sydney, Australia"/>
    <s v="Senior"/>
    <n v="15"/>
    <s v="M.Tech"/>
    <x v="12"/>
    <s v=" Java"/>
    <s v=" C++"/>
    <n v="2015"/>
    <s v="VisionEdge"/>
    <s v="Building Scalable Tech Solutions"/>
    <x v="1"/>
    <n v="12164"/>
    <n v="9"/>
    <n v="13258.76"/>
  </r>
  <r>
    <x v="0"/>
    <x v="5"/>
    <s v="Consulting"/>
    <s v="Singapore"/>
    <s v="Senior"/>
    <n v="18"/>
    <s v="MBA"/>
    <x v="0"/>
    <s v=" Google Ads"/>
    <s v=" Content Marketing"/>
    <n v="2014"/>
    <s v="FutureWare"/>
    <s v="Passionate about Data &amp; Insights"/>
    <x v="4"/>
    <n v="6275"/>
    <n v="7"/>
    <n v="6714.25"/>
  </r>
  <r>
    <x v="5"/>
    <x v="0"/>
    <s v="Healthcare"/>
    <s v="Singapore"/>
    <s v="Senior"/>
    <n v="12"/>
    <s v="M.Sc"/>
    <x v="5"/>
    <s v=" Planning"/>
    <m/>
    <n v="2024"/>
    <s v="NextGen Solutions"/>
    <s v="Helping Organizations Transform Digitally"/>
    <x v="2"/>
    <n v="7621"/>
    <n v="10"/>
    <n v="8383.1"/>
  </r>
  <r>
    <x v="9"/>
    <x v="4"/>
    <s v="Consulting"/>
    <s v="Sydney, Australia"/>
    <s v="Beginner"/>
    <n v="1"/>
    <s v="M.Sc"/>
    <x v="16"/>
    <m/>
    <m/>
    <n v="2011"/>
    <s v="SmartWorks"/>
    <s v="Empowering Teams"/>
    <x v="0"/>
    <n v="12447"/>
    <n v="6"/>
    <n v="13193.820000000002"/>
  </r>
  <r>
    <x v="1"/>
    <x v="9"/>
    <s v="Manufacturing"/>
    <s v="Mumbai, India"/>
    <s v="Senior"/>
    <n v="14"/>
    <s v="B.Tech"/>
    <x v="12"/>
    <s v=" Machine Learning"/>
    <s v=" AI"/>
    <n v="2020"/>
    <s v="VisionEdge"/>
    <s v="Marketing that Converts"/>
    <x v="2"/>
    <n v="14036"/>
    <n v="22"/>
    <n v="17123.919999999998"/>
  </r>
  <r>
    <x v="9"/>
    <x v="2"/>
    <s v="Consulting"/>
    <s v="Berlin, Germany"/>
    <s v="Senior"/>
    <n v="15"/>
    <s v="M.Sc"/>
    <x v="15"/>
    <s v=" Excel"/>
    <s v=" Forecasting"/>
    <n v="2024"/>
    <s v="InnovaSoft"/>
    <s v="Innovating User Experiences"/>
    <x v="3"/>
    <n v="7181"/>
    <n v="6"/>
    <n v="7611.8600000000006"/>
  </r>
  <r>
    <x v="7"/>
    <x v="0"/>
    <s v="Finance"/>
    <s v="Toronto, Canada"/>
    <s v="Senior"/>
    <n v="13"/>
    <s v="PhD"/>
    <x v="12"/>
    <s v=" SQL"/>
    <s v=" Tableau"/>
    <n v="2015"/>
    <s v="SmartWorks"/>
    <s v="Driving Business Growth"/>
    <x v="4"/>
    <n v="8132"/>
    <n v="14"/>
    <n v="9270.4800000000014"/>
  </r>
  <r>
    <x v="7"/>
    <x v="4"/>
    <s v="Retail"/>
    <s v="Paris, France"/>
    <s v="Beginner"/>
    <n v="1"/>
    <s v="B.Com"/>
    <x v="12"/>
    <s v=" SQL"/>
    <s v=" Tableau"/>
    <n v="2020"/>
    <s v="CloudAxis"/>
    <s v="Committed to Continuous Learning"/>
    <x v="1"/>
    <n v="5814"/>
    <n v="13"/>
    <n v="6569.82"/>
  </r>
  <r>
    <x v="5"/>
    <x v="6"/>
    <s v="Healthcare"/>
    <s v="Berlin, Germany"/>
    <s v="Mid-Level"/>
    <n v="10"/>
    <s v="MCA"/>
    <x v="5"/>
    <s v=" Planning"/>
    <m/>
    <n v="2022"/>
    <s v="InnovaSoft"/>
    <s v="Helping Organizations Transform Digitally"/>
    <x v="4"/>
    <n v="12989"/>
    <n v="13"/>
    <n v="14677.569999999998"/>
  </r>
  <r>
    <x v="7"/>
    <x v="3"/>
    <s v="Finance"/>
    <s v="Mumbai, India"/>
    <s v="Mid-Level"/>
    <n v="5"/>
    <s v="B.Tech"/>
    <x v="12"/>
    <s v=" SQL"/>
    <s v=" Tableau"/>
    <n v="2015"/>
    <s v="GlobalCorp"/>
    <s v="Committed to Continuous Learning"/>
    <x v="3"/>
    <n v="10381"/>
    <n v="6"/>
    <n v="11003.86"/>
  </r>
  <r>
    <x v="3"/>
    <x v="5"/>
    <s v="Marketing"/>
    <s v="Mumbai, India"/>
    <s v="Senior"/>
    <n v="15"/>
    <s v="MCA"/>
    <x v="3"/>
    <m/>
    <m/>
    <n v="2010"/>
    <s v="TechNova"/>
    <s v="Committed to Continuous Learning"/>
    <x v="3"/>
    <n v="11370"/>
    <n v="17"/>
    <n v="13302.9"/>
  </r>
  <r>
    <x v="2"/>
    <x v="1"/>
    <s v="Education"/>
    <s v="Berlin, Germany"/>
    <s v="Mid-Level"/>
    <n v="9"/>
    <s v="PhD"/>
    <x v="2"/>
    <s v=" React"/>
    <s v=" Node.js"/>
    <n v="2016"/>
    <s v="Zenith Systems"/>
    <s v="Marketing that Converts"/>
    <x v="1"/>
    <n v="11109"/>
    <n v="15"/>
    <n v="12775.349999999999"/>
  </r>
  <r>
    <x v="7"/>
    <x v="0"/>
    <s v="Marketing"/>
    <s v="Sydney, Australia"/>
    <s v="Senior"/>
    <n v="13"/>
    <s v="M.Sc"/>
    <x v="7"/>
    <s v=" SQL"/>
    <s v=" Power BI"/>
    <n v="2025"/>
    <s v="VisionEdge"/>
    <s v="Passionate about Data &amp; Insights"/>
    <x v="0"/>
    <n v="11983"/>
    <n v="15"/>
    <n v="13780.449999999999"/>
  </r>
  <r>
    <x v="4"/>
    <x v="6"/>
    <s v="Retail"/>
    <s v="Paris, France"/>
    <s v="Senior"/>
    <n v="13"/>
    <s v="M.Tech"/>
    <x v="11"/>
    <s v=" Figma"/>
    <s v=" Adobe XD"/>
    <n v="2016"/>
    <s v="BrightData"/>
    <s v="Helping Organizations Transform Digitally"/>
    <x v="0"/>
    <n v="9890"/>
    <n v="5"/>
    <n v="10384.5"/>
  </r>
  <r>
    <x v="4"/>
    <x v="3"/>
    <s v="Manufacturing"/>
    <s v="Toronto, Canada"/>
    <s v="Beginner"/>
    <n v="2"/>
    <s v="M.Tech"/>
    <x v="4"/>
    <s v=" Wireframing"/>
    <m/>
    <n v="2016"/>
    <s v="NextGen Solutions"/>
    <s v="Building Scalable Tech Solutions"/>
    <x v="0"/>
    <n v="8148"/>
    <n v="8"/>
    <n v="8799.84"/>
  </r>
  <r>
    <x v="1"/>
    <x v="5"/>
    <s v="Energy"/>
    <s v="Toronto, Canada"/>
    <s v="Beginner"/>
    <n v="4"/>
    <s v="B.Com"/>
    <x v="12"/>
    <s v=" Machine Learning"/>
    <s v=" AI"/>
    <n v="2010"/>
    <s v="Zenith Systems"/>
    <s v="Building Scalable Tech Solutions"/>
    <x v="3"/>
    <n v="13708"/>
    <n v="21"/>
    <n v="16586.68"/>
  </r>
  <r>
    <x v="9"/>
    <x v="2"/>
    <s v="Manufacturing"/>
    <s v="Paris, France"/>
    <s v="Mid-Level"/>
    <n v="9"/>
    <s v="BBA"/>
    <x v="16"/>
    <m/>
    <m/>
    <n v="2019"/>
    <s v="BrightData"/>
    <s v="Turning Data into Strategy"/>
    <x v="0"/>
    <n v="6675"/>
    <n v="14"/>
    <n v="7609.5000000000009"/>
  </r>
  <r>
    <x v="9"/>
    <x v="0"/>
    <s v="Healthcare"/>
    <s v="Mumbai, India"/>
    <s v="Senior"/>
    <n v="19"/>
    <s v="B.Tech"/>
    <x v="15"/>
    <s v=" Excel"/>
    <s v=" Forecasting"/>
    <n v="2021"/>
    <s v="GlobalCorp"/>
    <s v="Driving Business Growth"/>
    <x v="0"/>
    <n v="10952"/>
    <n v="13"/>
    <n v="12375.759999999998"/>
  </r>
  <r>
    <x v="3"/>
    <x v="5"/>
    <s v="Retail"/>
    <s v="London, UK"/>
    <s v="Mid-Level"/>
    <n v="7"/>
    <s v="BBA"/>
    <x v="13"/>
    <s v=" Scrum"/>
    <s v=" Project Planning"/>
    <n v="2012"/>
    <s v="FutureWare"/>
    <s v="Innovating User Experiences"/>
    <x v="4"/>
    <n v="10789"/>
    <n v="15"/>
    <n v="12407.349999999999"/>
  </r>
  <r>
    <x v="4"/>
    <x v="9"/>
    <s v="Consulting"/>
    <s v="New York, USA"/>
    <s v="Senior"/>
    <n v="11"/>
    <s v="B.Com"/>
    <x v="4"/>
    <s v=" Wireframing"/>
    <m/>
    <n v="2023"/>
    <s v="SmartWorks"/>
    <s v="Focused on Data-Driven Decisions"/>
    <x v="0"/>
    <n v="7272"/>
    <n v="9"/>
    <n v="7926.4800000000005"/>
  </r>
  <r>
    <x v="3"/>
    <x v="4"/>
    <s v="Retail"/>
    <s v="Paris, France"/>
    <s v="Beginner"/>
    <n v="3"/>
    <s v="MCA"/>
    <x v="3"/>
    <m/>
    <m/>
    <n v="2017"/>
    <s v="Zenith Systems"/>
    <s v="Building Scalable Tech Solutions"/>
    <x v="1"/>
    <n v="13185"/>
    <n v="15"/>
    <n v="15162.749999999998"/>
  </r>
  <r>
    <x v="0"/>
    <x v="0"/>
    <s v="Healthcare"/>
    <s v="Toronto, Canada"/>
    <s v="Beginner"/>
    <n v="2"/>
    <s v="BBA"/>
    <x v="0"/>
    <s v=" Google Ads"/>
    <s v=" Content Marketing"/>
    <n v="2013"/>
    <s v="CloudAxis"/>
    <s v="Empowering Teams"/>
    <x v="0"/>
    <n v="7238"/>
    <n v="8"/>
    <n v="7817.0400000000009"/>
  </r>
  <r>
    <x v="9"/>
    <x v="6"/>
    <s v="Consulting"/>
    <s v="Paris, France"/>
    <s v="Mid-Level"/>
    <n v="7"/>
    <s v="BBA"/>
    <x v="15"/>
    <s v=" Excel"/>
    <s v=" Forecasting"/>
    <n v="2025"/>
    <s v="VisionEdge"/>
    <s v="Passionate about Data &amp; Insights"/>
    <x v="0"/>
    <n v="11808"/>
    <n v="7"/>
    <n v="12634.560000000001"/>
  </r>
  <r>
    <x v="5"/>
    <x v="1"/>
    <s v="Manufacturing"/>
    <s v="Berlin, Germany"/>
    <s v="Senior"/>
    <n v="18"/>
    <s v="B.Com"/>
    <x v="5"/>
    <s v=" Planning"/>
    <m/>
    <n v="2010"/>
    <s v="TechNova"/>
    <s v="Building Scalable Tech Solutions"/>
    <x v="3"/>
    <n v="12133"/>
    <n v="8"/>
    <n v="13103.640000000001"/>
  </r>
  <r>
    <x v="1"/>
    <x v="0"/>
    <s v="Consulting"/>
    <s v="Singapore"/>
    <s v="Beginner"/>
    <n v="4"/>
    <s v="B.Com"/>
    <x v="1"/>
    <s v=" Data Visualization"/>
    <s v=" SQL"/>
    <n v="2013"/>
    <s v="GlobalCorp"/>
    <s v="Committed to Continuous Learning"/>
    <x v="0"/>
    <n v="13564"/>
    <n v="25"/>
    <n v="16955"/>
  </r>
  <r>
    <x v="5"/>
    <x v="6"/>
    <s v="Marketing"/>
    <s v="Dubai, UAE"/>
    <s v="Senior"/>
    <n v="16"/>
    <s v="BBA"/>
    <x v="5"/>
    <s v=" Planning"/>
    <m/>
    <n v="2011"/>
    <s v="NextGen Solutions"/>
    <s v="Driving Business Growth"/>
    <x v="1"/>
    <n v="13373"/>
    <n v="12"/>
    <n v="14977.760000000002"/>
  </r>
  <r>
    <x v="7"/>
    <x v="5"/>
    <s v="Finance"/>
    <s v="Singapore"/>
    <s v="Beginner"/>
    <n v="3"/>
    <s v="M.Tech"/>
    <x v="7"/>
    <s v=" SQL"/>
    <s v=" Power BI"/>
    <n v="2021"/>
    <s v="TechNova"/>
    <s v="Innovating User Experiences"/>
    <x v="3"/>
    <n v="5598"/>
    <n v="10"/>
    <n v="6157.8"/>
  </r>
  <r>
    <x v="9"/>
    <x v="2"/>
    <s v="Consulting"/>
    <s v="Toronto, Canada"/>
    <s v="Beginner"/>
    <n v="3"/>
    <s v="PhD"/>
    <x v="15"/>
    <s v=" Excel"/>
    <s v=" Forecasting"/>
    <n v="2020"/>
    <s v="FutureWare"/>
    <s v="Committed to Continuous Learning"/>
    <x v="0"/>
    <n v="10927"/>
    <n v="11"/>
    <n v="12128.970000000001"/>
  </r>
  <r>
    <x v="2"/>
    <x v="9"/>
    <s v="Healthcare"/>
    <s v="Paris, France"/>
    <s v="Beginner"/>
    <n v="1"/>
    <s v="PhD"/>
    <x v="2"/>
    <s v=" React"/>
    <s v=" Node.js"/>
    <n v="2014"/>
    <s v="InnovaSoft"/>
    <s v="Turning Data into Strategy"/>
    <x v="1"/>
    <n v="9681"/>
    <n v="11"/>
    <n v="10745.910000000002"/>
  </r>
  <r>
    <x v="9"/>
    <x v="7"/>
    <s v="Consulting"/>
    <s v="London, UK"/>
    <s v="Beginner"/>
    <n v="1"/>
    <s v="M.Sc"/>
    <x v="16"/>
    <m/>
    <m/>
    <n v="2025"/>
    <s v="CloudAxis"/>
    <s v="Innovating User Experiences"/>
    <x v="2"/>
    <n v="8605"/>
    <n v="13"/>
    <n v="9723.65"/>
  </r>
  <r>
    <x v="9"/>
    <x v="8"/>
    <s v="Manufacturing"/>
    <s v="Toronto, Canada"/>
    <s v="Senior"/>
    <n v="14"/>
    <s v="MCA"/>
    <x v="15"/>
    <s v=" Excel"/>
    <s v=" Forecasting"/>
    <n v="2015"/>
    <s v="BrightData"/>
    <s v="Helping Organizations Transform Digitally"/>
    <x v="2"/>
    <n v="12111"/>
    <n v="9"/>
    <n v="13200.990000000002"/>
  </r>
  <r>
    <x v="0"/>
    <x v="2"/>
    <s v="Consulting"/>
    <s v="Mumbai, India"/>
    <s v="Mid-Level"/>
    <n v="10"/>
    <s v="MBA"/>
    <x v="9"/>
    <m/>
    <m/>
    <n v="2011"/>
    <s v="VisionEdge"/>
    <s v="Passionate about Data &amp; Insights"/>
    <x v="4"/>
    <n v="9401"/>
    <n v="10"/>
    <n v="10341.1"/>
  </r>
  <r>
    <x v="6"/>
    <x v="4"/>
    <s v="Technology"/>
    <s v="Paris, France"/>
    <s v="Mid-Level"/>
    <n v="6"/>
    <s v="M.Tech"/>
    <x v="6"/>
    <s v=" Salesforce"/>
    <s v=" Lead Generation"/>
    <n v="2014"/>
    <s v="GlobalCorp"/>
    <s v="Focused on Data-Driven Decisions"/>
    <x v="3"/>
    <n v="5823"/>
    <n v="5"/>
    <n v="6114.1500000000005"/>
  </r>
  <r>
    <x v="4"/>
    <x v="4"/>
    <s v="Technology"/>
    <s v="Paris, France"/>
    <s v="Mid-Level"/>
    <n v="8"/>
    <s v="B.Com"/>
    <x v="11"/>
    <s v=" Figma"/>
    <s v=" Adobe XD"/>
    <n v="2010"/>
    <s v="NextGen Solutions"/>
    <s v="Focused on Data-Driven Decisions"/>
    <x v="4"/>
    <n v="11929"/>
    <n v="11"/>
    <n v="13241.19"/>
  </r>
  <r>
    <x v="7"/>
    <x v="3"/>
    <s v="Marketing"/>
    <s v="Mumbai, India"/>
    <s v="Senior"/>
    <n v="18"/>
    <s v="M.Tech"/>
    <x v="7"/>
    <s v=" SQL"/>
    <s v=" Power BI"/>
    <n v="2020"/>
    <s v="TechNova"/>
    <s v="Passionate about Data &amp; Insights"/>
    <x v="2"/>
    <n v="7293"/>
    <n v="7"/>
    <n v="7803.51"/>
  </r>
  <r>
    <x v="8"/>
    <x v="9"/>
    <s v="Finance"/>
    <s v="Berlin, Germany"/>
    <s v="Mid-Level"/>
    <n v="7"/>
    <s v="M.Tech"/>
    <x v="14"/>
    <s v=" HR Analytics"/>
    <s v=" Payroll"/>
    <n v="2018"/>
    <s v="TechNova"/>
    <s v="Innovating User Experiences"/>
    <x v="3"/>
    <n v="6282"/>
    <n v="11"/>
    <n v="6973.02"/>
  </r>
  <r>
    <x v="3"/>
    <x v="3"/>
    <s v="Healthcare"/>
    <s v="Mumbai, India"/>
    <s v="Senior"/>
    <n v="20"/>
    <s v="MBA"/>
    <x v="3"/>
    <m/>
    <m/>
    <n v="2013"/>
    <s v="TechNova"/>
    <s v="Building Scalable Tech Solutions"/>
    <x v="3"/>
    <n v="13926"/>
    <n v="11"/>
    <n v="15457.86"/>
  </r>
  <r>
    <x v="2"/>
    <x v="9"/>
    <s v="Finance"/>
    <s v="Berlin, Germany"/>
    <s v="Mid-Level"/>
    <n v="5"/>
    <s v="MCA"/>
    <x v="12"/>
    <s v=" Java"/>
    <s v=" C++"/>
    <n v="2021"/>
    <s v="BrightData"/>
    <s v="Helping Organizations Transform Digitally"/>
    <x v="4"/>
    <n v="12372"/>
    <n v="10"/>
    <n v="13609.2"/>
  </r>
  <r>
    <x v="2"/>
    <x v="0"/>
    <s v="Technology"/>
    <s v="Berlin, Germany"/>
    <s v="Senior"/>
    <n v="20"/>
    <s v="B.Tech"/>
    <x v="2"/>
    <s v=" React"/>
    <s v=" Node.js"/>
    <n v="2018"/>
    <s v="FutureWare"/>
    <s v="Focused on Data-Driven Decisions"/>
    <x v="2"/>
    <n v="12032"/>
    <n v="10"/>
    <n v="13235.2"/>
  </r>
  <r>
    <x v="4"/>
    <x v="3"/>
    <s v="Technology"/>
    <s v="Dubai, UAE"/>
    <s v="Mid-Level"/>
    <n v="9"/>
    <s v="B.Com"/>
    <x v="4"/>
    <s v=" Wireframing"/>
    <m/>
    <n v="2022"/>
    <s v="NextGen Solutions"/>
    <s v="Empowering Teams"/>
    <x v="4"/>
    <n v="9986"/>
    <n v="11"/>
    <n v="11084.460000000001"/>
  </r>
  <r>
    <x v="3"/>
    <x v="4"/>
    <s v="Education"/>
    <s v="Paris, France"/>
    <s v="Senior"/>
    <n v="15"/>
    <s v="BBA"/>
    <x v="13"/>
    <s v=" Scrum"/>
    <s v=" Project Planning"/>
    <n v="2014"/>
    <s v="GlobalCorp"/>
    <s v="Turning Data into Strategy"/>
    <x v="1"/>
    <n v="9763"/>
    <n v="9"/>
    <n v="10641.67"/>
  </r>
  <r>
    <x v="1"/>
    <x v="3"/>
    <s v="Retail"/>
    <s v="Paris, France"/>
    <s v="Senior"/>
    <n v="17"/>
    <s v="B.Tech"/>
    <x v="1"/>
    <s v=" Data Visualization"/>
    <s v=" SQL"/>
    <n v="2019"/>
    <s v="BrightData"/>
    <s v="Marketing that Converts"/>
    <x v="4"/>
    <n v="16011"/>
    <n v="25"/>
    <n v="20013.75"/>
  </r>
  <r>
    <x v="0"/>
    <x v="9"/>
    <s v="Marketing"/>
    <s v="New York, USA"/>
    <s v="Senior"/>
    <n v="16"/>
    <s v="B.Sc"/>
    <x v="0"/>
    <s v=" Google Ads"/>
    <s v=" Content Marketing"/>
    <n v="2018"/>
    <s v="GlobalCorp"/>
    <s v="Innovating User Experiences"/>
    <x v="3"/>
    <n v="6090"/>
    <n v="7"/>
    <n v="6516.3"/>
  </r>
  <r>
    <x v="3"/>
    <x v="8"/>
    <s v="Technology"/>
    <s v="Toronto, Canada"/>
    <s v="Beginner"/>
    <n v="2"/>
    <s v="MCA"/>
    <x v="13"/>
    <s v=" Scrum"/>
    <s v=" Project Planning"/>
    <n v="2023"/>
    <s v="Zenith Systems"/>
    <s v="Innovating User Experiences"/>
    <x v="3"/>
    <n v="12305"/>
    <n v="12"/>
    <n v="13781.600000000002"/>
  </r>
  <r>
    <x v="7"/>
    <x v="5"/>
    <s v="Technology"/>
    <s v="Singapore"/>
    <s v="Senior"/>
    <n v="13"/>
    <s v="MCA"/>
    <x v="7"/>
    <s v=" SQL"/>
    <s v=" Power BI"/>
    <n v="2022"/>
    <s v="VisionEdge"/>
    <s v="Empowering Teams"/>
    <x v="0"/>
    <n v="5052"/>
    <n v="9"/>
    <n v="5506.68"/>
  </r>
  <r>
    <x v="7"/>
    <x v="1"/>
    <s v="Technology"/>
    <s v="Singapore"/>
    <s v="Beginner"/>
    <n v="2"/>
    <s v="M.Sc"/>
    <x v="12"/>
    <s v=" SQL"/>
    <s v=" Tableau"/>
    <n v="2017"/>
    <s v="FutureWare"/>
    <s v="Passionate about Data &amp; Insights"/>
    <x v="3"/>
    <n v="5261"/>
    <n v="14"/>
    <n v="5997.5400000000009"/>
  </r>
  <r>
    <x v="2"/>
    <x v="1"/>
    <s v="Manufacturing"/>
    <s v="London, UK"/>
    <s v="Senior"/>
    <n v="11"/>
    <s v="PhD"/>
    <x v="12"/>
    <s v=" Java"/>
    <s v=" C++"/>
    <n v="2018"/>
    <s v="GlobalCorp"/>
    <s v="Driving Business Growth"/>
    <x v="2"/>
    <n v="8082"/>
    <n v="15"/>
    <n v="9294.2999999999993"/>
  </r>
  <r>
    <x v="0"/>
    <x v="3"/>
    <s v="Retail"/>
    <s v="London, UK"/>
    <s v="Senior"/>
    <n v="12"/>
    <s v="B.Tech"/>
    <x v="9"/>
    <m/>
    <m/>
    <n v="2018"/>
    <s v="BrightData"/>
    <s v="Focused on Data-Driven Decisions"/>
    <x v="0"/>
    <n v="4982"/>
    <n v="12"/>
    <n v="5579.84"/>
  </r>
  <r>
    <x v="2"/>
    <x v="2"/>
    <s v="Energy"/>
    <s v="Doha, Qatar"/>
    <s v="Senior"/>
    <n v="13"/>
    <s v="M.Sc"/>
    <x v="12"/>
    <s v=" Java"/>
    <s v=" C++"/>
    <n v="2013"/>
    <s v="SmartWorks"/>
    <s v="Passionate about Data &amp; Insights"/>
    <x v="1"/>
    <n v="8822"/>
    <n v="16"/>
    <n v="10233.519999999999"/>
  </r>
  <r>
    <x v="5"/>
    <x v="2"/>
    <s v="Finance"/>
    <s v="London, UK"/>
    <s v="Mid-Level"/>
    <n v="7"/>
    <s v="M.Sc"/>
    <x v="10"/>
    <s v=" Management"/>
    <s v=" Operations"/>
    <n v="2018"/>
    <s v="Zenith Systems"/>
    <s v="Empowering Teams"/>
    <x v="4"/>
    <n v="8847"/>
    <n v="10"/>
    <n v="9731.7000000000007"/>
  </r>
  <r>
    <x v="5"/>
    <x v="8"/>
    <s v="Education"/>
    <s v="New York, USA"/>
    <s v="Mid-Level"/>
    <n v="7"/>
    <s v="B.Tech"/>
    <x v="10"/>
    <s v=" Management"/>
    <s v=" Operations"/>
    <n v="2018"/>
    <s v="TechNova"/>
    <s v="Empowering Teams"/>
    <x v="2"/>
    <n v="10763"/>
    <n v="7"/>
    <n v="11516.41"/>
  </r>
  <r>
    <x v="7"/>
    <x v="9"/>
    <s v="Telecom"/>
    <s v="Berlin, Germany"/>
    <s v="Senior"/>
    <n v="17"/>
    <s v="M.Sc"/>
    <x v="7"/>
    <s v=" SQL"/>
    <s v=" Power BI"/>
    <n v="2022"/>
    <s v="CloudAxis"/>
    <s v="Innovating User Experiences"/>
    <x v="2"/>
    <n v="8211"/>
    <n v="14"/>
    <n v="9360.5400000000009"/>
  </r>
  <r>
    <x v="4"/>
    <x v="9"/>
    <s v="Retail"/>
    <s v="Berlin, Germany"/>
    <s v="Mid-Level"/>
    <n v="5"/>
    <s v="B.Tech"/>
    <x v="4"/>
    <s v=" Wireframing"/>
    <m/>
    <n v="2011"/>
    <s v="CloudAxis"/>
    <s v="Marketing that Converts"/>
    <x v="1"/>
    <n v="10626"/>
    <n v="6"/>
    <n v="11263.560000000001"/>
  </r>
  <r>
    <x v="0"/>
    <x v="3"/>
    <s v="Retail"/>
    <s v="London, UK"/>
    <s v="Beginner"/>
    <n v="1"/>
    <s v="M.Tech"/>
    <x v="0"/>
    <s v=" Google Ads"/>
    <s v=" Content Marketing"/>
    <n v="2016"/>
    <s v="VisionEdge"/>
    <s v="Passionate about Data &amp; Insights"/>
    <x v="4"/>
    <n v="6834"/>
    <n v="9"/>
    <n v="7449.06"/>
  </r>
  <r>
    <x v="0"/>
    <x v="8"/>
    <s v="Energy"/>
    <s v="Doha, Qatar"/>
    <s v="Beginner"/>
    <n v="2"/>
    <s v="M.Tech"/>
    <x v="0"/>
    <s v=" Google Ads"/>
    <s v=" Content Marketing"/>
    <n v="2024"/>
    <s v="Zenith Systems"/>
    <s v="Passionate about Data &amp; Insights"/>
    <x v="4"/>
    <n v="4354"/>
    <n v="7"/>
    <n v="4658.7800000000007"/>
  </r>
  <r>
    <x v="2"/>
    <x v="2"/>
    <s v="Energy"/>
    <s v="London, UK"/>
    <s v="Mid-Level"/>
    <n v="6"/>
    <s v="M.Tech"/>
    <x v="2"/>
    <s v=" React"/>
    <s v=" Node.js"/>
    <n v="2017"/>
    <s v="CloudAxis"/>
    <s v="Focused on Data-Driven Decisions"/>
    <x v="3"/>
    <n v="12149"/>
    <n v="11"/>
    <n v="13485.390000000001"/>
  </r>
  <r>
    <x v="5"/>
    <x v="7"/>
    <s v="Manufacturing"/>
    <s v="Sydney, Australia"/>
    <s v="Beginner"/>
    <n v="3"/>
    <s v="MCA"/>
    <x v="10"/>
    <s v=" Management"/>
    <s v=" Operations"/>
    <n v="2012"/>
    <s v="SmartWorks"/>
    <s v="Marketing that Converts"/>
    <x v="0"/>
    <n v="9640"/>
    <n v="14"/>
    <n v="10989.6"/>
  </r>
  <r>
    <x v="7"/>
    <x v="4"/>
    <s v="Technology"/>
    <s v="Singapore"/>
    <s v="Senior"/>
    <n v="19"/>
    <s v="MCA"/>
    <x v="12"/>
    <s v=" SQL"/>
    <s v=" Tableau"/>
    <n v="2015"/>
    <s v="InnovaSoft"/>
    <s v="Empowering Teams"/>
    <x v="0"/>
    <n v="7310"/>
    <n v="6"/>
    <n v="7748.6"/>
  </r>
  <r>
    <x v="7"/>
    <x v="8"/>
    <s v="Education"/>
    <s v="Sydney, Australia"/>
    <s v="Senior"/>
    <n v="20"/>
    <s v="M.Sc"/>
    <x v="12"/>
    <s v=" SQL"/>
    <s v=" Tableau"/>
    <n v="2022"/>
    <s v="CloudAxis"/>
    <s v="Empowering Teams"/>
    <x v="3"/>
    <n v="6362"/>
    <n v="15"/>
    <n v="7316.2999999999993"/>
  </r>
  <r>
    <x v="8"/>
    <x v="0"/>
    <s v="Education"/>
    <s v="Toronto, Canada"/>
    <s v="Mid-Level"/>
    <n v="10"/>
    <s v="M.Sc"/>
    <x v="17"/>
    <s v=" HRIS"/>
    <m/>
    <n v="2017"/>
    <s v="TechNova"/>
    <s v="Committed to Continuous Learning"/>
    <x v="0"/>
    <n v="8697"/>
    <n v="10"/>
    <n v="9566.7000000000007"/>
  </r>
  <r>
    <x v="8"/>
    <x v="1"/>
    <s v="Manufacturing"/>
    <s v="Toronto, Canada"/>
    <s v="Senior"/>
    <n v="14"/>
    <s v="BBA"/>
    <x v="17"/>
    <s v=" HRIS"/>
    <m/>
    <n v="2011"/>
    <s v="GlobalCorp"/>
    <s v="Helping Organizations Transform Digitally"/>
    <x v="1"/>
    <n v="9066"/>
    <n v="9"/>
    <n v="9881.94"/>
  </r>
  <r>
    <x v="2"/>
    <x v="9"/>
    <s v="Telecom"/>
    <s v="Doha, Qatar"/>
    <s v="Senior"/>
    <n v="11"/>
    <s v="B.Com"/>
    <x v="2"/>
    <s v=" React"/>
    <s v=" Node.js"/>
    <n v="2016"/>
    <s v="SmartWorks"/>
    <s v="Focused on Data-Driven Decisions"/>
    <x v="1"/>
    <n v="14062"/>
    <n v="9"/>
    <n v="15327.580000000002"/>
  </r>
  <r>
    <x v="2"/>
    <x v="7"/>
    <s v="Marketing"/>
    <s v="New York, USA"/>
    <s v="Senior"/>
    <n v="13"/>
    <s v="M.Tech"/>
    <x v="2"/>
    <s v=" React"/>
    <s v=" Node.js"/>
    <n v="2025"/>
    <s v="FutureWare"/>
    <s v="Turning Data into Strategy"/>
    <x v="1"/>
    <n v="11902"/>
    <n v="8"/>
    <n v="12854.160000000002"/>
  </r>
  <r>
    <x v="5"/>
    <x v="6"/>
    <s v="Education"/>
    <s v="Dubai, UAE"/>
    <s v="Senior"/>
    <n v="11"/>
    <s v="PhD"/>
    <x v="5"/>
    <s v=" Planning"/>
    <m/>
    <n v="2018"/>
    <s v="NextGen Solutions"/>
    <s v="Committed to Continuous Learning"/>
    <x v="1"/>
    <n v="13145"/>
    <n v="14"/>
    <n v="14985.300000000001"/>
  </r>
  <r>
    <x v="2"/>
    <x v="1"/>
    <s v="Finance"/>
    <s v="New York, USA"/>
    <s v="Mid-Level"/>
    <n v="10"/>
    <s v="BBA"/>
    <x v="12"/>
    <s v=" Java"/>
    <s v=" C++"/>
    <n v="2015"/>
    <s v="FutureWare"/>
    <s v="Focused on Data-Driven Decisions"/>
    <x v="0"/>
    <n v="9683"/>
    <n v="19"/>
    <n v="11522.769999999999"/>
  </r>
  <r>
    <x v="0"/>
    <x v="2"/>
    <s v="Telecom"/>
    <s v="Berlin, Germany"/>
    <s v="Mid-Level"/>
    <n v="10"/>
    <s v="M.Tech"/>
    <x v="0"/>
    <s v=" Google Ads"/>
    <s v=" Content Marketing"/>
    <n v="2013"/>
    <s v="FutureWare"/>
    <s v="Innovating User Experiences"/>
    <x v="2"/>
    <n v="4526"/>
    <n v="5"/>
    <n v="4752.3"/>
  </r>
  <r>
    <x v="2"/>
    <x v="9"/>
    <s v="Finance"/>
    <s v="Mumbai, India"/>
    <s v="Senior"/>
    <n v="16"/>
    <s v="BBA"/>
    <x v="12"/>
    <s v=" Java"/>
    <s v=" C++"/>
    <n v="2025"/>
    <s v="NextGen Solutions"/>
    <s v="Empowering Teams"/>
    <x v="2"/>
    <n v="13967"/>
    <n v="11"/>
    <n v="15503.37"/>
  </r>
  <r>
    <x v="6"/>
    <x v="4"/>
    <s v="Education"/>
    <s v="Berlin, Germany"/>
    <s v="Mid-Level"/>
    <n v="8"/>
    <s v="B.Com"/>
    <x v="8"/>
    <s v=" Communication"/>
    <m/>
    <n v="2021"/>
    <s v="CloudAxis"/>
    <s v="Driving Business Growth"/>
    <x v="4"/>
    <n v="4890"/>
    <n v="9"/>
    <n v="5330.1"/>
  </r>
  <r>
    <x v="4"/>
    <x v="9"/>
    <s v="Consulting"/>
    <s v="Doha, Qatar"/>
    <s v="Senior"/>
    <n v="18"/>
    <s v="MCA"/>
    <x v="11"/>
    <s v=" Figma"/>
    <s v=" Adobe XD"/>
    <n v="2024"/>
    <s v="TechNova"/>
    <s v="Helping Organizations Transform Digitally"/>
    <x v="1"/>
    <n v="8489"/>
    <n v="6"/>
    <n v="8998.34"/>
  </r>
  <r>
    <x v="6"/>
    <x v="2"/>
    <s v="Finance"/>
    <s v="Doha, Qatar"/>
    <s v="Beginner"/>
    <n v="1"/>
    <s v="MBA"/>
    <x v="8"/>
    <s v=" Communication"/>
    <m/>
    <n v="2015"/>
    <s v="FutureWare"/>
    <s v="Passionate about Data &amp; Insights"/>
    <x v="4"/>
    <n v="8518"/>
    <n v="8"/>
    <n v="9199.44"/>
  </r>
  <r>
    <x v="5"/>
    <x v="3"/>
    <s v="Energy"/>
    <s v="Mumbai, India"/>
    <s v="Senior"/>
    <n v="19"/>
    <s v="BBA"/>
    <x v="10"/>
    <s v=" Management"/>
    <s v=" Operations"/>
    <n v="2014"/>
    <s v="CloudAxis"/>
    <s v="Marketing that Converts"/>
    <x v="3"/>
    <n v="8771"/>
    <n v="12"/>
    <n v="9823.52"/>
  </r>
  <r>
    <x v="8"/>
    <x v="6"/>
    <s v="Manufacturing"/>
    <s v="Paris, France"/>
    <s v="Senior"/>
    <n v="14"/>
    <s v="MCA"/>
    <x v="17"/>
    <s v=" HRIS"/>
    <m/>
    <n v="2018"/>
    <s v="VisionEdge"/>
    <s v="Innovating User Experiences"/>
    <x v="1"/>
    <n v="5130"/>
    <n v="9"/>
    <n v="5591.7000000000007"/>
  </r>
  <r>
    <x v="5"/>
    <x v="3"/>
    <s v="Consulting"/>
    <s v="Berlin, Germany"/>
    <s v="Senior"/>
    <n v="16"/>
    <s v="PhD"/>
    <x v="5"/>
    <s v=" Planning"/>
    <m/>
    <n v="2019"/>
    <s v="Zenith Systems"/>
    <s v="Helping Organizations Transform Digitally"/>
    <x v="3"/>
    <n v="9679"/>
    <n v="13"/>
    <n v="10937.269999999999"/>
  </r>
  <r>
    <x v="0"/>
    <x v="4"/>
    <s v="Healthcare"/>
    <s v="Mumbai, India"/>
    <s v="Mid-Level"/>
    <n v="8"/>
    <s v="BBA"/>
    <x v="9"/>
    <m/>
    <m/>
    <n v="2016"/>
    <s v="SmartWorks"/>
    <s v="Marketing that Converts"/>
    <x v="0"/>
    <n v="4664"/>
    <n v="8"/>
    <n v="5037.12"/>
  </r>
  <r>
    <x v="0"/>
    <x v="1"/>
    <s v="Technology"/>
    <s v="Sydney, Australia"/>
    <s v="Senior"/>
    <n v="12"/>
    <s v="MCA"/>
    <x v="0"/>
    <s v=" Google Ads"/>
    <s v=" Content Marketing"/>
    <n v="2021"/>
    <s v="BrightData"/>
    <s v="Building Scalable Tech Solutions"/>
    <x v="4"/>
    <n v="8678"/>
    <n v="7"/>
    <n v="9285.4600000000009"/>
  </r>
  <r>
    <x v="9"/>
    <x v="0"/>
    <s v="Energy"/>
    <s v="Doha, Qatar"/>
    <s v="Senior"/>
    <n v="17"/>
    <s v="MBA"/>
    <x v="15"/>
    <s v=" Excel"/>
    <s v=" Forecasting"/>
    <n v="2023"/>
    <s v="FutureWare"/>
    <s v="Committed to Continuous Learning"/>
    <x v="2"/>
    <n v="9555"/>
    <n v="7"/>
    <n v="10223.85"/>
  </r>
  <r>
    <x v="1"/>
    <x v="1"/>
    <s v="Telecom"/>
    <s v="Sydney, Australia"/>
    <s v="Beginner"/>
    <n v="2"/>
    <s v="M.Sc"/>
    <x v="12"/>
    <s v=" Machine Learning"/>
    <s v=" AI"/>
    <n v="2016"/>
    <s v="CloudAxis"/>
    <s v="Driving Business Growth"/>
    <x v="4"/>
    <n v="10707"/>
    <n v="15"/>
    <n v="12313.05"/>
  </r>
  <r>
    <x v="7"/>
    <x v="2"/>
    <s v="Manufacturing"/>
    <s v="Toronto, Canada"/>
    <s v="Beginner"/>
    <n v="1"/>
    <s v="BBA"/>
    <x v="12"/>
    <s v=" SQL"/>
    <s v=" Tableau"/>
    <n v="2015"/>
    <s v="GlobalCorp"/>
    <s v="Marketing that Converts"/>
    <x v="4"/>
    <n v="6333"/>
    <n v="15"/>
    <n v="7282.95"/>
  </r>
  <r>
    <x v="9"/>
    <x v="3"/>
    <s v="Education"/>
    <s v="Mumbai, India"/>
    <s v="Senior"/>
    <n v="13"/>
    <s v="MBA"/>
    <x v="15"/>
    <s v=" Excel"/>
    <s v=" Forecasting"/>
    <n v="2016"/>
    <s v="CloudAxis"/>
    <s v="Focused on Data-Driven Decisions"/>
    <x v="0"/>
    <n v="10075"/>
    <n v="7"/>
    <n v="10780.25"/>
  </r>
  <r>
    <x v="3"/>
    <x v="0"/>
    <s v="Manufacturing"/>
    <s v="New York, USA"/>
    <s v="Senior"/>
    <n v="20"/>
    <s v="M.Sc"/>
    <x v="13"/>
    <s v=" Scrum"/>
    <s v=" Project Planning"/>
    <n v="2025"/>
    <s v="NextGen Solutions"/>
    <s v="Passionate about Data &amp; Insights"/>
    <x v="2"/>
    <n v="9578"/>
    <n v="12"/>
    <n v="10727.36"/>
  </r>
  <r>
    <x v="4"/>
    <x v="2"/>
    <s v="Technology"/>
    <s v="Paris, France"/>
    <s v="Senior"/>
    <n v="16"/>
    <s v="MBA"/>
    <x v="4"/>
    <s v=" Wireframing"/>
    <m/>
    <n v="2011"/>
    <s v="GlobalCorp"/>
    <s v="Focused on Data-Driven Decisions"/>
    <x v="0"/>
    <n v="6004"/>
    <n v="5"/>
    <n v="6304.2"/>
  </r>
  <r>
    <x v="9"/>
    <x v="3"/>
    <s v="Retail"/>
    <s v="Singapore"/>
    <s v="Mid-Level"/>
    <n v="10"/>
    <s v="BBA"/>
    <x v="16"/>
    <m/>
    <m/>
    <n v="2024"/>
    <s v="FutureWare"/>
    <s v="Building Scalable Tech Solutions"/>
    <x v="3"/>
    <n v="10734"/>
    <n v="14"/>
    <n v="12236.760000000002"/>
  </r>
  <r>
    <x v="8"/>
    <x v="8"/>
    <s v="Retail"/>
    <s v="Singapore"/>
    <s v="Senior"/>
    <n v="14"/>
    <s v="M.Sc"/>
    <x v="14"/>
    <s v=" HR Analytics"/>
    <s v=" Payroll"/>
    <n v="2024"/>
    <s v="GlobalCorp"/>
    <s v="Focused on Data-Driven Decisions"/>
    <x v="3"/>
    <n v="7353"/>
    <n v="9"/>
    <n v="8014.77"/>
  </r>
  <r>
    <x v="1"/>
    <x v="3"/>
    <s v="Energy"/>
    <s v="Doha, Qatar"/>
    <s v="Beginner"/>
    <n v="4"/>
    <s v="M.Sc"/>
    <x v="1"/>
    <s v=" Data Visualization"/>
    <s v=" SQL"/>
    <n v="2011"/>
    <s v="InnovaSoft"/>
    <s v="Turning Data into Strategy"/>
    <x v="0"/>
    <n v="11053"/>
    <n v="11"/>
    <n v="12268.830000000002"/>
  </r>
  <r>
    <x v="5"/>
    <x v="4"/>
    <s v="Telecom"/>
    <s v="London, UK"/>
    <s v="Mid-Level"/>
    <n v="9"/>
    <s v="MBA"/>
    <x v="5"/>
    <s v=" Planning"/>
    <m/>
    <n v="2020"/>
    <s v="SmartWorks"/>
    <s v="Building Scalable Tech Solutions"/>
    <x v="1"/>
    <n v="12661"/>
    <n v="13"/>
    <n v="14306.929999999998"/>
  </r>
  <r>
    <x v="0"/>
    <x v="1"/>
    <s v="Marketing"/>
    <s v="Doha, Qatar"/>
    <s v="Mid-Level"/>
    <n v="9"/>
    <s v="M.Sc"/>
    <x v="0"/>
    <s v=" Google Ads"/>
    <s v=" Content Marketing"/>
    <n v="2020"/>
    <s v="FutureWare"/>
    <s v="Marketing that Converts"/>
    <x v="1"/>
    <n v="7871"/>
    <n v="5"/>
    <n v="8264.5500000000011"/>
  </r>
  <r>
    <x v="8"/>
    <x v="7"/>
    <s v="Consulting"/>
    <s v="Mumbai, India"/>
    <s v="Mid-Level"/>
    <n v="9"/>
    <s v="M.Tech"/>
    <x v="17"/>
    <s v=" HRIS"/>
    <m/>
    <n v="2012"/>
    <s v="VisionEdge"/>
    <s v="Building Scalable Tech Solutions"/>
    <x v="2"/>
    <n v="6548"/>
    <n v="10"/>
    <n v="7202.8"/>
  </r>
  <r>
    <x v="0"/>
    <x v="8"/>
    <s v="Consulting"/>
    <s v="New York, USA"/>
    <s v="Senior"/>
    <n v="13"/>
    <s v="B.Com"/>
    <x v="0"/>
    <s v=" Google Ads"/>
    <s v=" Content Marketing"/>
    <n v="2016"/>
    <s v="GlobalCorp"/>
    <s v="Building Scalable Tech Solutions"/>
    <x v="3"/>
    <n v="4386"/>
    <n v="9"/>
    <n v="4780.7400000000007"/>
  </r>
  <r>
    <x v="5"/>
    <x v="0"/>
    <s v="Retail"/>
    <s v="Sydney, Australia"/>
    <s v="Mid-Level"/>
    <n v="7"/>
    <s v="MCA"/>
    <x v="10"/>
    <s v=" Management"/>
    <s v=" Operations"/>
    <n v="2021"/>
    <s v="NextGen Solutions"/>
    <s v="Marketing that Converts"/>
    <x v="1"/>
    <n v="13319"/>
    <n v="8"/>
    <n v="14384.52"/>
  </r>
  <r>
    <x v="5"/>
    <x v="9"/>
    <s v="Telecom"/>
    <s v="Paris, France"/>
    <s v="Senior"/>
    <n v="12"/>
    <s v="MCA"/>
    <x v="10"/>
    <s v=" Management"/>
    <s v=" Operations"/>
    <n v="2010"/>
    <s v="NextGen Solutions"/>
    <s v="Focused on Data-Driven Decisions"/>
    <x v="2"/>
    <n v="9923"/>
    <n v="9"/>
    <n v="10816.070000000002"/>
  </r>
  <r>
    <x v="1"/>
    <x v="0"/>
    <s v="Finance"/>
    <s v="Mumbai, India"/>
    <s v="Mid-Level"/>
    <n v="10"/>
    <s v="MCA"/>
    <x v="12"/>
    <s v=" Machine Learning"/>
    <s v=" AI"/>
    <n v="2023"/>
    <s v="InnovaSoft"/>
    <s v="Helping Organizations Transform Digitally"/>
    <x v="0"/>
    <n v="13387"/>
    <n v="16"/>
    <n v="15528.919999999998"/>
  </r>
  <r>
    <x v="0"/>
    <x v="5"/>
    <s v="Healthcare"/>
    <s v="Doha, Qatar"/>
    <s v="Senior"/>
    <n v="19"/>
    <s v="MCA"/>
    <x v="0"/>
    <s v=" Google Ads"/>
    <s v=" Content Marketing"/>
    <n v="2020"/>
    <s v="GlobalCorp"/>
    <s v="Innovating User Experiences"/>
    <x v="2"/>
    <n v="4817"/>
    <n v="5"/>
    <n v="5057.8500000000004"/>
  </r>
  <r>
    <x v="0"/>
    <x v="8"/>
    <s v="Education"/>
    <s v="Dubai, UAE"/>
    <s v="Mid-Level"/>
    <n v="5"/>
    <s v="B.Sc"/>
    <x v="9"/>
    <m/>
    <m/>
    <n v="2020"/>
    <s v="VisionEdge"/>
    <s v="Helping Organizations Transform Digitally"/>
    <x v="2"/>
    <n v="6022"/>
    <n v="6"/>
    <n v="6383.3200000000006"/>
  </r>
  <r>
    <x v="0"/>
    <x v="9"/>
    <s v="Consulting"/>
    <s v="Paris, France"/>
    <s v="Senior"/>
    <n v="17"/>
    <s v="M.Tech"/>
    <x v="9"/>
    <m/>
    <m/>
    <n v="2021"/>
    <s v="InnovaSoft"/>
    <s v="Turning Data into Strategy"/>
    <x v="3"/>
    <n v="6723"/>
    <n v="12"/>
    <n v="7529.7600000000011"/>
  </r>
  <r>
    <x v="8"/>
    <x v="5"/>
    <s v="Finance"/>
    <s v="Sydney, Australia"/>
    <s v="Senior"/>
    <n v="16"/>
    <s v="BBA"/>
    <x v="17"/>
    <s v=" HRIS"/>
    <m/>
    <n v="2019"/>
    <s v="CloudAxis"/>
    <s v="Committed to Continuous Learning"/>
    <x v="3"/>
    <n v="6310"/>
    <n v="8"/>
    <n v="6814.8"/>
  </r>
  <r>
    <x v="8"/>
    <x v="8"/>
    <s v="Consulting"/>
    <s v="Toronto, Canada"/>
    <s v="Senior"/>
    <n v="14"/>
    <s v="MCA"/>
    <x v="17"/>
    <s v=" HRIS"/>
    <m/>
    <n v="2017"/>
    <s v="FutureWare"/>
    <s v="Innovating User Experiences"/>
    <x v="3"/>
    <n v="8327"/>
    <n v="5"/>
    <n v="8743.35"/>
  </r>
  <r>
    <x v="4"/>
    <x v="1"/>
    <s v="Energy"/>
    <s v="Doha, Qatar"/>
    <s v="Mid-Level"/>
    <n v="5"/>
    <s v="B.Com"/>
    <x v="11"/>
    <s v=" Figma"/>
    <s v=" Adobe XD"/>
    <n v="2021"/>
    <s v="GlobalCorp"/>
    <s v="Building Scalable Tech Solutions"/>
    <x v="1"/>
    <n v="7978"/>
    <n v="8"/>
    <n v="8616.24"/>
  </r>
  <r>
    <x v="8"/>
    <x v="6"/>
    <s v="Consulting"/>
    <s v="Toronto, Canada"/>
    <s v="Beginner"/>
    <n v="1"/>
    <s v="MBA"/>
    <x v="17"/>
    <s v=" HRIS"/>
    <m/>
    <n v="2023"/>
    <s v="TechNova"/>
    <s v="Building Scalable Tech Solutions"/>
    <x v="2"/>
    <n v="10786"/>
    <n v="12"/>
    <n v="12080.320000000002"/>
  </r>
  <r>
    <x v="3"/>
    <x v="7"/>
    <s v="Manufacturing"/>
    <s v="Doha, Qatar"/>
    <s v="Senior"/>
    <n v="20"/>
    <s v="B.Tech"/>
    <x v="3"/>
    <m/>
    <m/>
    <n v="2024"/>
    <s v="SmartWorks"/>
    <s v="Passionate about Data &amp; Insights"/>
    <x v="3"/>
    <n v="11262"/>
    <n v="12"/>
    <n v="12613.44"/>
  </r>
  <r>
    <x v="0"/>
    <x v="3"/>
    <s v="Education"/>
    <s v="New York, USA"/>
    <s v="Senior"/>
    <n v="13"/>
    <s v="B.Sc"/>
    <x v="0"/>
    <s v=" Google Ads"/>
    <s v=" Content Marketing"/>
    <n v="2012"/>
    <s v="BrightData"/>
    <s v="Driving Business Growth"/>
    <x v="2"/>
    <n v="8830"/>
    <n v="8"/>
    <n v="9536.4000000000015"/>
  </r>
  <r>
    <x v="6"/>
    <x v="7"/>
    <s v="Energy"/>
    <s v="Berlin, Germany"/>
    <s v="Beginner"/>
    <n v="3"/>
    <s v="B.Sc"/>
    <x v="8"/>
    <s v=" Communication"/>
    <m/>
    <n v="2019"/>
    <s v="VisionEdge"/>
    <s v="Driving Business Growth"/>
    <x v="0"/>
    <n v="7818"/>
    <n v="6"/>
    <n v="8287.08"/>
  </r>
  <r>
    <x v="7"/>
    <x v="0"/>
    <s v="Energy"/>
    <s v="Toronto, Canada"/>
    <s v="Senior"/>
    <n v="12"/>
    <s v="M.Sc"/>
    <x v="12"/>
    <s v=" SQL"/>
    <s v=" Tableau"/>
    <n v="2025"/>
    <s v="CloudAxis"/>
    <s v="Innovating User Experiences"/>
    <x v="3"/>
    <n v="8360"/>
    <n v="15"/>
    <n v="9614"/>
  </r>
  <r>
    <x v="2"/>
    <x v="7"/>
    <s v="Marketing"/>
    <s v="New York, USA"/>
    <s v="Senior"/>
    <n v="19"/>
    <s v="B.Com"/>
    <x v="12"/>
    <s v=" Java"/>
    <s v=" C++"/>
    <n v="2022"/>
    <s v="NextGen Solutions"/>
    <s v="Empowering Teams"/>
    <x v="2"/>
    <n v="9072"/>
    <n v="12"/>
    <n v="10160.640000000001"/>
  </r>
  <r>
    <x v="1"/>
    <x v="9"/>
    <s v="Energy"/>
    <s v="Berlin, Germany"/>
    <s v="Senior"/>
    <n v="13"/>
    <s v="M.Sc"/>
    <x v="1"/>
    <s v=" Data Visualization"/>
    <s v=" SQL"/>
    <n v="2012"/>
    <s v="NextGen Solutions"/>
    <s v="Driving Business Growth"/>
    <x v="0"/>
    <n v="10240"/>
    <n v="17"/>
    <n v="11980.8"/>
  </r>
  <r>
    <x v="4"/>
    <x v="6"/>
    <s v="Retail"/>
    <s v="Mumbai, India"/>
    <s v="Senior"/>
    <n v="17"/>
    <s v="M.Tech"/>
    <x v="4"/>
    <s v=" Wireframing"/>
    <m/>
    <n v="2011"/>
    <s v="NextGen Solutions"/>
    <s v="Marketing that Converts"/>
    <x v="0"/>
    <n v="10720"/>
    <n v="8"/>
    <n v="11577.6"/>
  </r>
  <r>
    <x v="7"/>
    <x v="3"/>
    <s v="Manufacturing"/>
    <s v="Sydney, Australia"/>
    <s v="Senior"/>
    <n v="13"/>
    <s v="MBA"/>
    <x v="7"/>
    <s v=" SQL"/>
    <s v=" Power BI"/>
    <n v="2012"/>
    <s v="BrightData"/>
    <s v="Helping Organizations Transform Digitally"/>
    <x v="3"/>
    <n v="6594"/>
    <n v="11"/>
    <n v="7319.3400000000011"/>
  </r>
  <r>
    <x v="2"/>
    <x v="4"/>
    <s v="Finance"/>
    <s v="Sydney, Australia"/>
    <s v="Senior"/>
    <n v="16"/>
    <s v="B.Com"/>
    <x v="2"/>
    <s v=" React"/>
    <s v=" Node.js"/>
    <n v="2022"/>
    <s v="VisionEdge"/>
    <s v="Passionate about Data &amp; Insights"/>
    <x v="2"/>
    <n v="11826"/>
    <n v="8"/>
    <n v="12772.080000000002"/>
  </r>
  <r>
    <x v="3"/>
    <x v="7"/>
    <s v="Retail"/>
    <s v="New York, USA"/>
    <s v="Mid-Level"/>
    <n v="7"/>
    <s v="MCA"/>
    <x v="13"/>
    <s v=" Scrum"/>
    <s v=" Project Planning"/>
    <n v="2022"/>
    <s v="NextGen Solutions"/>
    <s v="Empowering Teams"/>
    <x v="0"/>
    <n v="11676"/>
    <n v="14"/>
    <n v="13310.640000000001"/>
  </r>
  <r>
    <x v="1"/>
    <x v="2"/>
    <s v="Consulting"/>
    <s v="London, UK"/>
    <s v="Senior"/>
    <n v="13"/>
    <s v="B.Com"/>
    <x v="1"/>
    <s v=" Data Visualization"/>
    <s v=" SQL"/>
    <n v="2016"/>
    <s v="InnovaSoft"/>
    <s v="Driving Business Growth"/>
    <x v="0"/>
    <n v="16881"/>
    <n v="13"/>
    <n v="19075.53"/>
  </r>
  <r>
    <x v="5"/>
    <x v="0"/>
    <s v="Energy"/>
    <s v="Toronto, Canada"/>
    <s v="Senior"/>
    <n v="14"/>
    <s v="B.Tech"/>
    <x v="10"/>
    <s v=" Management"/>
    <s v=" Operations"/>
    <n v="2010"/>
    <s v="NextGen Solutions"/>
    <s v="Focused on Data-Driven Decisions"/>
    <x v="2"/>
    <n v="8752"/>
    <n v="8"/>
    <n v="9452.16"/>
  </r>
  <r>
    <x v="7"/>
    <x v="7"/>
    <s v="Marketing"/>
    <s v="New York, USA"/>
    <s v="Mid-Level"/>
    <n v="7"/>
    <s v="B.Com"/>
    <x v="7"/>
    <s v=" SQL"/>
    <s v=" Power BI"/>
    <n v="2017"/>
    <s v="Zenith Systems"/>
    <s v="Focused on Data-Driven Decisions"/>
    <x v="1"/>
    <n v="10008"/>
    <n v="11"/>
    <n v="11108.880000000001"/>
  </r>
  <r>
    <x v="0"/>
    <x v="4"/>
    <s v="Education"/>
    <s v="London, UK"/>
    <s v="Senior"/>
    <n v="19"/>
    <s v="PhD"/>
    <x v="0"/>
    <s v=" Google Ads"/>
    <s v=" Content Marketing"/>
    <n v="2016"/>
    <s v="NextGen Solutions"/>
    <s v="Building Scalable Tech Solutions"/>
    <x v="2"/>
    <n v="6532"/>
    <n v="10"/>
    <n v="7185.2000000000007"/>
  </r>
  <r>
    <x v="9"/>
    <x v="9"/>
    <s v="Healthcare"/>
    <s v="Dubai, UAE"/>
    <s v="Senior"/>
    <n v="16"/>
    <s v="MBA"/>
    <x v="16"/>
    <m/>
    <m/>
    <n v="2010"/>
    <s v="VisionEdge"/>
    <s v="Focused on Data-Driven Decisions"/>
    <x v="4"/>
    <n v="6788"/>
    <n v="11"/>
    <n v="7534.68"/>
  </r>
  <r>
    <x v="8"/>
    <x v="1"/>
    <s v="Marketing"/>
    <s v="Dubai, UAE"/>
    <s v="Senior"/>
    <n v="13"/>
    <s v="PhD"/>
    <x v="14"/>
    <s v=" HR Analytics"/>
    <s v=" Payroll"/>
    <n v="2012"/>
    <s v="BrightData"/>
    <s v="Focused on Data-Driven Decisions"/>
    <x v="0"/>
    <n v="5598"/>
    <n v="5"/>
    <n v="5877.9000000000005"/>
  </r>
  <r>
    <x v="9"/>
    <x v="0"/>
    <s v="Technology"/>
    <s v="Berlin, Germany"/>
    <s v="Mid-Level"/>
    <n v="10"/>
    <s v="MCA"/>
    <x v="15"/>
    <s v=" Excel"/>
    <s v=" Forecasting"/>
    <n v="2021"/>
    <s v="Zenith Systems"/>
    <s v="Building Scalable Tech Solutions"/>
    <x v="0"/>
    <n v="8365"/>
    <n v="12"/>
    <n v="9368.8000000000011"/>
  </r>
  <r>
    <x v="3"/>
    <x v="2"/>
    <s v="Marketing"/>
    <s v="Mumbai, India"/>
    <s v="Senior"/>
    <n v="16"/>
    <s v="B.Tech"/>
    <x v="3"/>
    <m/>
    <m/>
    <n v="2011"/>
    <s v="VisionEdge"/>
    <s v="Helping Organizations Transform Digitally"/>
    <x v="2"/>
    <n v="10624"/>
    <n v="14"/>
    <n v="12111.36"/>
  </r>
  <r>
    <x v="9"/>
    <x v="6"/>
    <s v="Healthcare"/>
    <s v="Dubai, UAE"/>
    <s v="Senior"/>
    <n v="15"/>
    <s v="BBA"/>
    <x v="16"/>
    <m/>
    <m/>
    <n v="2020"/>
    <s v="NextGen Solutions"/>
    <s v="Focused on Data-Driven Decisions"/>
    <x v="3"/>
    <n v="9395"/>
    <n v="11"/>
    <n v="10428.450000000001"/>
  </r>
  <r>
    <x v="9"/>
    <x v="5"/>
    <s v="Manufacturing"/>
    <s v="Mumbai, India"/>
    <s v="Senior"/>
    <n v="18"/>
    <s v="B.Com"/>
    <x v="15"/>
    <s v=" Excel"/>
    <s v=" Forecasting"/>
    <n v="2025"/>
    <s v="NextGen Solutions"/>
    <s v="Committed to Continuous Learning"/>
    <x v="1"/>
    <n v="12590"/>
    <n v="14"/>
    <n v="14352.600000000002"/>
  </r>
  <r>
    <x v="9"/>
    <x v="3"/>
    <s v="Consulting"/>
    <s v="Toronto, Canada"/>
    <s v="Mid-Level"/>
    <n v="6"/>
    <s v="M.Tech"/>
    <x v="16"/>
    <m/>
    <m/>
    <n v="2010"/>
    <s v="CloudAxis"/>
    <s v="Marketing that Converts"/>
    <x v="0"/>
    <n v="7877"/>
    <n v="11"/>
    <n v="8743.4700000000012"/>
  </r>
  <r>
    <x v="2"/>
    <x v="1"/>
    <s v="Manufacturing"/>
    <s v="Sydney, Australia"/>
    <s v="Mid-Level"/>
    <n v="10"/>
    <s v="MBA"/>
    <x v="2"/>
    <s v=" React"/>
    <s v=" Node.js"/>
    <n v="2013"/>
    <s v="SmartWorks"/>
    <s v="Empowering Teams"/>
    <x v="4"/>
    <n v="14506"/>
    <n v="10"/>
    <n v="15956.600000000002"/>
  </r>
  <r>
    <x v="8"/>
    <x v="3"/>
    <s v="Education"/>
    <s v="New York, USA"/>
    <s v="Beginner"/>
    <n v="2"/>
    <s v="B.Com"/>
    <x v="17"/>
    <s v=" HRIS"/>
    <m/>
    <n v="2013"/>
    <s v="VisionEdge"/>
    <s v="Driving Business Growth"/>
    <x v="4"/>
    <n v="5132"/>
    <n v="7"/>
    <n v="5491.2400000000007"/>
  </r>
  <r>
    <x v="4"/>
    <x v="3"/>
    <s v="Marketing"/>
    <s v="New York, USA"/>
    <s v="Beginner"/>
    <n v="2"/>
    <s v="BBA"/>
    <x v="11"/>
    <s v=" Figma"/>
    <s v=" Adobe XD"/>
    <n v="2010"/>
    <s v="Zenith Systems"/>
    <s v="Focused on Data-Driven Decisions"/>
    <x v="1"/>
    <n v="11794"/>
    <n v="12"/>
    <n v="13209.28"/>
  </r>
  <r>
    <x v="5"/>
    <x v="2"/>
    <s v="Technology"/>
    <s v="New York, USA"/>
    <s v="Beginner"/>
    <n v="2"/>
    <s v="PhD"/>
    <x v="5"/>
    <s v=" Planning"/>
    <m/>
    <n v="2024"/>
    <s v="GlobalCorp"/>
    <s v="Driving Business Growth"/>
    <x v="2"/>
    <n v="13101"/>
    <n v="10"/>
    <n v="14411.1"/>
  </r>
  <r>
    <x v="0"/>
    <x v="5"/>
    <s v="Telecom"/>
    <s v="Toronto, Canada"/>
    <s v="Mid-Level"/>
    <n v="7"/>
    <s v="M.Tech"/>
    <x v="0"/>
    <s v=" Google Ads"/>
    <s v=" Content Marketing"/>
    <n v="2024"/>
    <s v="Zenith Systems"/>
    <s v="Marketing that Converts"/>
    <x v="2"/>
    <n v="6435"/>
    <n v="7"/>
    <n v="6885.4500000000007"/>
  </r>
  <r>
    <x v="0"/>
    <x v="2"/>
    <s v="Consulting"/>
    <s v="Toronto, Canada"/>
    <s v="Senior"/>
    <n v="17"/>
    <s v="M.Sc"/>
    <x v="9"/>
    <m/>
    <m/>
    <n v="2016"/>
    <s v="SmartWorks"/>
    <s v="Committed to Continuous Learning"/>
    <x v="2"/>
    <n v="8609"/>
    <n v="8"/>
    <n v="9297.7200000000012"/>
  </r>
  <r>
    <x v="0"/>
    <x v="0"/>
    <s v="Marketing"/>
    <s v="Doha, Qatar"/>
    <s v="Senior"/>
    <n v="14"/>
    <s v="PhD"/>
    <x v="0"/>
    <s v=" Google Ads"/>
    <s v=" Content Marketing"/>
    <n v="2021"/>
    <s v="VisionEdge"/>
    <s v="Marketing that Converts"/>
    <x v="3"/>
    <n v="8531"/>
    <n v="8"/>
    <n v="9213.4800000000014"/>
  </r>
  <r>
    <x v="9"/>
    <x v="8"/>
    <s v="Marketing"/>
    <s v="Toronto, Canada"/>
    <s v="Senior"/>
    <n v="13"/>
    <s v="M.Tech"/>
    <x v="16"/>
    <m/>
    <m/>
    <n v="2025"/>
    <s v="FutureWare"/>
    <s v="Committed to Continuous Learning"/>
    <x v="3"/>
    <n v="8220"/>
    <n v="14"/>
    <n v="9370.8000000000011"/>
  </r>
  <r>
    <x v="8"/>
    <x v="3"/>
    <s v="Energy"/>
    <s v="Singapore"/>
    <s v="Beginner"/>
    <n v="2"/>
    <s v="M.Tech"/>
    <x v="17"/>
    <s v=" HRIS"/>
    <m/>
    <n v="2025"/>
    <s v="InnovaSoft"/>
    <s v="Focused on Data-Driven Decisions"/>
    <x v="0"/>
    <n v="10904"/>
    <n v="6"/>
    <n v="11558.24"/>
  </r>
  <r>
    <x v="6"/>
    <x v="3"/>
    <s v="Education"/>
    <s v="London, UK"/>
    <s v="Beginner"/>
    <n v="2"/>
    <s v="B.Sc"/>
    <x v="6"/>
    <s v=" Salesforce"/>
    <s v=" Lead Generation"/>
    <n v="2020"/>
    <s v="InnovaSoft"/>
    <s v="Empowering Teams"/>
    <x v="4"/>
    <n v="6246"/>
    <n v="6"/>
    <n v="6620.76"/>
  </r>
  <r>
    <x v="4"/>
    <x v="8"/>
    <s v="Energy"/>
    <s v="Singapore"/>
    <s v="Senior"/>
    <n v="12"/>
    <s v="B.Sc"/>
    <x v="4"/>
    <s v=" Wireframing"/>
    <m/>
    <n v="2012"/>
    <s v="VisionEdge"/>
    <s v="Marketing that Converts"/>
    <x v="3"/>
    <n v="5705"/>
    <n v="11"/>
    <n v="6332.55"/>
  </r>
  <r>
    <x v="7"/>
    <x v="9"/>
    <s v="Manufacturing"/>
    <s v="Paris, France"/>
    <s v="Senior"/>
    <n v="15"/>
    <s v="MBA"/>
    <x v="7"/>
    <s v=" SQL"/>
    <s v=" Power BI"/>
    <n v="2024"/>
    <s v="CloudAxis"/>
    <s v="Driving Business Growth"/>
    <x v="1"/>
    <n v="6397"/>
    <n v="6"/>
    <n v="6780.8200000000006"/>
  </r>
  <r>
    <x v="7"/>
    <x v="9"/>
    <s v="Finance"/>
    <s v="Paris, France"/>
    <s v="Senior"/>
    <n v="14"/>
    <s v="MCA"/>
    <x v="7"/>
    <s v=" SQL"/>
    <s v=" Power BI"/>
    <n v="2017"/>
    <s v="FutureWare"/>
    <s v="Marketing that Converts"/>
    <x v="0"/>
    <n v="9071"/>
    <n v="15"/>
    <n v="10431.65"/>
  </r>
  <r>
    <x v="2"/>
    <x v="7"/>
    <s v="Telecom"/>
    <s v="London, UK"/>
    <s v="Senior"/>
    <n v="20"/>
    <s v="B.Tech"/>
    <x v="2"/>
    <s v=" React"/>
    <s v=" Node.js"/>
    <n v="2015"/>
    <s v="VisionEdge"/>
    <s v="Committed to Continuous Learning"/>
    <x v="4"/>
    <n v="13163"/>
    <n v="17"/>
    <n v="15400.71"/>
  </r>
  <r>
    <x v="0"/>
    <x v="5"/>
    <s v="Consulting"/>
    <s v="New York, USA"/>
    <s v="Beginner"/>
    <n v="4"/>
    <s v="M.Tech"/>
    <x v="9"/>
    <m/>
    <m/>
    <n v="2010"/>
    <s v="SmartWorks"/>
    <s v="Passionate about Data &amp; Insights"/>
    <x v="0"/>
    <n v="9720"/>
    <n v="10"/>
    <n v="10692"/>
  </r>
  <r>
    <x v="9"/>
    <x v="1"/>
    <s v="Marketing"/>
    <s v="Paris, France"/>
    <s v="Mid-Level"/>
    <n v="8"/>
    <s v="B.Tech"/>
    <x v="15"/>
    <s v=" Excel"/>
    <s v=" Forecasting"/>
    <n v="2010"/>
    <s v="VisionEdge"/>
    <s v="Committed to Continuous Learning"/>
    <x v="1"/>
    <n v="9789"/>
    <n v="7"/>
    <n v="10474.230000000001"/>
  </r>
  <r>
    <x v="9"/>
    <x v="6"/>
    <s v="Education"/>
    <s v="Singapore"/>
    <s v="Senior"/>
    <n v="20"/>
    <s v="BBA"/>
    <x v="16"/>
    <m/>
    <m/>
    <n v="2021"/>
    <s v="Zenith Systems"/>
    <s v="Marketing that Converts"/>
    <x v="1"/>
    <n v="9773"/>
    <n v="11"/>
    <n v="10848.03"/>
  </r>
  <r>
    <x v="2"/>
    <x v="7"/>
    <s v="Healthcare"/>
    <s v="Singapore"/>
    <s v="Beginner"/>
    <n v="2"/>
    <s v="PhD"/>
    <x v="2"/>
    <s v=" React"/>
    <s v=" Node.js"/>
    <n v="2025"/>
    <s v="NextGen Solutions"/>
    <s v="Helping Organizations Transform Digitally"/>
    <x v="2"/>
    <n v="8890"/>
    <n v="13"/>
    <n v="10045.699999999999"/>
  </r>
  <r>
    <x v="6"/>
    <x v="7"/>
    <s v="Finance"/>
    <s v="London, UK"/>
    <s v="Mid-Level"/>
    <n v="9"/>
    <s v="B.Tech"/>
    <x v="8"/>
    <s v=" Communication"/>
    <m/>
    <n v="2019"/>
    <s v="SmartWorks"/>
    <s v="Turning Data into Strategy"/>
    <x v="4"/>
    <n v="5321"/>
    <n v="4"/>
    <n v="5533.84"/>
  </r>
  <r>
    <x v="3"/>
    <x v="5"/>
    <s v="Education"/>
    <s v="Singapore"/>
    <s v="Senior"/>
    <n v="14"/>
    <s v="M.Tech"/>
    <x v="13"/>
    <s v=" Scrum"/>
    <s v=" Project Planning"/>
    <n v="2010"/>
    <s v="SmartWorks"/>
    <s v="Marketing that Converts"/>
    <x v="0"/>
    <n v="8317"/>
    <n v="13"/>
    <n v="9398.2099999999991"/>
  </r>
  <r>
    <x v="3"/>
    <x v="4"/>
    <s v="Education"/>
    <s v="Sydney, Australia"/>
    <s v="Beginner"/>
    <n v="4"/>
    <s v="M.Tech"/>
    <x v="13"/>
    <s v=" Scrum"/>
    <s v=" Project Planning"/>
    <n v="2016"/>
    <s v="InnovaSoft"/>
    <s v="Passionate about Data &amp; Insights"/>
    <x v="2"/>
    <n v="10670"/>
    <n v="11"/>
    <n v="11843.7"/>
  </r>
  <r>
    <x v="5"/>
    <x v="2"/>
    <s v="Healthcare"/>
    <s v="Doha, Qatar"/>
    <s v="Mid-Level"/>
    <n v="5"/>
    <s v="PhD"/>
    <x v="5"/>
    <s v=" Planning"/>
    <m/>
    <n v="2013"/>
    <s v="VisionEdge"/>
    <s v="Marketing that Converts"/>
    <x v="2"/>
    <n v="13714"/>
    <n v="14"/>
    <n v="15633.960000000001"/>
  </r>
  <r>
    <x v="7"/>
    <x v="5"/>
    <s v="Education"/>
    <s v="Toronto, Canada"/>
    <s v="Senior"/>
    <n v="15"/>
    <s v="M.Sc"/>
    <x v="7"/>
    <s v=" SQL"/>
    <s v=" Power BI"/>
    <n v="2018"/>
    <s v="FutureWare"/>
    <s v="Focused on Data-Driven Decisions"/>
    <x v="2"/>
    <n v="6255"/>
    <n v="12"/>
    <n v="7005.6"/>
  </r>
  <r>
    <x v="6"/>
    <x v="5"/>
    <s v="Finance"/>
    <s v="Toronto, Canada"/>
    <s v="Senior"/>
    <n v="15"/>
    <s v="B.Tech"/>
    <x v="6"/>
    <s v=" Salesforce"/>
    <s v=" Lead Generation"/>
    <n v="2013"/>
    <s v="Zenith Systems"/>
    <s v="Committed to Continuous Learning"/>
    <x v="4"/>
    <n v="5326"/>
    <n v="8"/>
    <n v="5752.08"/>
  </r>
  <r>
    <x v="7"/>
    <x v="3"/>
    <s v="Technology"/>
    <s v="London, UK"/>
    <s v="Senior"/>
    <n v="11"/>
    <s v="B.Tech"/>
    <x v="7"/>
    <s v=" SQL"/>
    <s v=" Power BI"/>
    <n v="2025"/>
    <s v="NextGen Solutions"/>
    <s v="Passionate about Data &amp; Insights"/>
    <x v="1"/>
    <n v="6749"/>
    <n v="11"/>
    <n v="7491.39"/>
  </r>
  <r>
    <x v="0"/>
    <x v="0"/>
    <s v="Telecom"/>
    <s v="Doha, Qatar"/>
    <s v="Mid-Level"/>
    <n v="10"/>
    <s v="PhD"/>
    <x v="9"/>
    <m/>
    <m/>
    <n v="2014"/>
    <s v="Zenith Systems"/>
    <s v="Empowering Teams"/>
    <x v="1"/>
    <n v="4152"/>
    <n v="6"/>
    <n v="4401.12"/>
  </r>
  <r>
    <x v="3"/>
    <x v="6"/>
    <s v="Healthcare"/>
    <s v="Toronto, Canada"/>
    <s v="Mid-Level"/>
    <n v="7"/>
    <s v="M.Tech"/>
    <x v="3"/>
    <m/>
    <m/>
    <n v="2020"/>
    <s v="CloudAxis"/>
    <s v="Empowering Teams"/>
    <x v="3"/>
    <n v="8753"/>
    <n v="17"/>
    <n v="10241.01"/>
  </r>
  <r>
    <x v="2"/>
    <x v="2"/>
    <s v="Finance"/>
    <s v="Paris, France"/>
    <s v="Senior"/>
    <n v="17"/>
    <s v="MBA"/>
    <x v="2"/>
    <s v=" React"/>
    <s v=" Node.js"/>
    <n v="2023"/>
    <s v="FutureWare"/>
    <s v="Passionate about Data &amp; Insights"/>
    <x v="2"/>
    <n v="14285"/>
    <n v="8"/>
    <n v="15427.800000000001"/>
  </r>
  <r>
    <x v="9"/>
    <x v="3"/>
    <s v="Consulting"/>
    <s v="Berlin, Germany"/>
    <s v="Senior"/>
    <n v="14"/>
    <s v="M.Tech"/>
    <x v="15"/>
    <s v=" Excel"/>
    <s v=" Forecasting"/>
    <n v="2020"/>
    <s v="VisionEdge"/>
    <s v="Focused on Data-Driven Decisions"/>
    <x v="1"/>
    <n v="7661"/>
    <n v="10"/>
    <n v="8427.1"/>
  </r>
  <r>
    <x v="0"/>
    <x v="6"/>
    <s v="Telecom"/>
    <s v="Singapore"/>
    <s v="Senior"/>
    <n v="14"/>
    <s v="PhD"/>
    <x v="9"/>
    <m/>
    <m/>
    <n v="2018"/>
    <s v="Zenith Systems"/>
    <s v="Turning Data into Strategy"/>
    <x v="1"/>
    <n v="8452"/>
    <n v="8"/>
    <n v="9128.16"/>
  </r>
  <r>
    <x v="4"/>
    <x v="4"/>
    <s v="Manufacturing"/>
    <s v="Doha, Qatar"/>
    <s v="Senior"/>
    <n v="16"/>
    <s v="B.Com"/>
    <x v="4"/>
    <s v=" Wireframing"/>
    <m/>
    <n v="2018"/>
    <s v="TechNova"/>
    <s v="Empowering Teams"/>
    <x v="3"/>
    <n v="7754"/>
    <n v="7"/>
    <n v="8296.7800000000007"/>
  </r>
  <r>
    <x v="6"/>
    <x v="0"/>
    <s v="Healthcare"/>
    <s v="Doha, Qatar"/>
    <s v="Senior"/>
    <n v="13"/>
    <s v="B.Com"/>
    <x v="8"/>
    <s v=" Communication"/>
    <m/>
    <n v="2023"/>
    <s v="InnovaSoft"/>
    <s v="Marketing that Converts"/>
    <x v="2"/>
    <n v="6355"/>
    <n v="4"/>
    <n v="6609.2"/>
  </r>
  <r>
    <x v="0"/>
    <x v="6"/>
    <s v="Technology"/>
    <s v="Doha, Qatar"/>
    <s v="Senior"/>
    <n v="20"/>
    <s v="B.Com"/>
    <x v="0"/>
    <s v=" Google Ads"/>
    <s v=" Content Marketing"/>
    <n v="2023"/>
    <s v="Zenith Systems"/>
    <s v="Turning Data into Strategy"/>
    <x v="0"/>
    <n v="9453"/>
    <n v="12"/>
    <n v="10587.36"/>
  </r>
  <r>
    <x v="1"/>
    <x v="7"/>
    <s v="Healthcare"/>
    <s v="Paris, France"/>
    <s v="Beginner"/>
    <n v="2"/>
    <s v="M.Tech"/>
    <x v="1"/>
    <s v=" Data Visualization"/>
    <s v=" SQL"/>
    <n v="2015"/>
    <s v="CloudAxis"/>
    <s v="Innovating User Experiences"/>
    <x v="4"/>
    <n v="12220"/>
    <n v="24"/>
    <n v="15152.8"/>
  </r>
  <r>
    <x v="9"/>
    <x v="5"/>
    <s v="Consulting"/>
    <s v="New York, USA"/>
    <s v="Senior"/>
    <n v="18"/>
    <s v="M.Sc"/>
    <x v="15"/>
    <s v=" Excel"/>
    <s v=" Forecasting"/>
    <n v="2021"/>
    <s v="CloudAxis"/>
    <s v="Committed to Continuous Learning"/>
    <x v="2"/>
    <n v="11894"/>
    <n v="8"/>
    <n v="12845.52"/>
  </r>
  <r>
    <x v="4"/>
    <x v="5"/>
    <s v="Finance"/>
    <s v="New York, USA"/>
    <s v="Senior"/>
    <n v="20"/>
    <s v="M.Tech"/>
    <x v="11"/>
    <s v=" Figma"/>
    <s v=" Adobe XD"/>
    <n v="2012"/>
    <s v="BrightData"/>
    <s v="Turning Data into Strategy"/>
    <x v="0"/>
    <n v="9369"/>
    <n v="12"/>
    <n v="10493.28"/>
  </r>
  <r>
    <x v="8"/>
    <x v="6"/>
    <s v="Telecom"/>
    <s v="Dubai, UAE"/>
    <s v="Senior"/>
    <n v="17"/>
    <s v="M.Tech"/>
    <x v="14"/>
    <s v=" HR Analytics"/>
    <s v=" Payroll"/>
    <n v="2021"/>
    <s v="GlobalCorp"/>
    <s v="Empowering Teams"/>
    <x v="1"/>
    <n v="5036"/>
    <n v="10"/>
    <n v="5539.6"/>
  </r>
  <r>
    <x v="5"/>
    <x v="3"/>
    <s v="Retail"/>
    <s v="Toronto, Canada"/>
    <s v="Senior"/>
    <n v="18"/>
    <s v="M.Sc"/>
    <x v="10"/>
    <s v=" Management"/>
    <s v=" Operations"/>
    <n v="2021"/>
    <s v="SmartWorks"/>
    <s v="Focused on Data-Driven Decisions"/>
    <x v="4"/>
    <n v="9784"/>
    <n v="13"/>
    <n v="11055.919999999998"/>
  </r>
  <r>
    <x v="4"/>
    <x v="0"/>
    <s v="Education"/>
    <s v="New York, USA"/>
    <s v="Senior"/>
    <n v="19"/>
    <s v="B.Sc"/>
    <x v="4"/>
    <s v=" Wireframing"/>
    <m/>
    <n v="2010"/>
    <s v="SmartWorks"/>
    <s v="Focused on Data-Driven Decisions"/>
    <x v="0"/>
    <n v="5654"/>
    <n v="10"/>
    <n v="6219.4000000000005"/>
  </r>
  <r>
    <x v="5"/>
    <x v="0"/>
    <s v="Retail"/>
    <s v="Mumbai, India"/>
    <s v="Beginner"/>
    <n v="4"/>
    <s v="M.Sc"/>
    <x v="10"/>
    <s v=" Management"/>
    <s v=" Operations"/>
    <n v="2016"/>
    <s v="GlobalCorp"/>
    <s v="Turning Data into Strategy"/>
    <x v="2"/>
    <n v="9815"/>
    <n v="10"/>
    <n v="10796.5"/>
  </r>
  <r>
    <x v="4"/>
    <x v="2"/>
    <s v="Marketing"/>
    <s v="Mumbai, India"/>
    <s v="Senior"/>
    <n v="12"/>
    <s v="B.Sc"/>
    <x v="11"/>
    <s v=" Figma"/>
    <s v=" Adobe XD"/>
    <n v="2017"/>
    <s v="NextGen Solutions"/>
    <s v="Empowering Teams"/>
    <x v="0"/>
    <n v="8905"/>
    <n v="10"/>
    <n v="9795.5"/>
  </r>
  <r>
    <x v="3"/>
    <x v="0"/>
    <s v="Technology"/>
    <s v="Dubai, UAE"/>
    <s v="Mid-Level"/>
    <n v="6"/>
    <s v="BBA"/>
    <x v="13"/>
    <s v=" Scrum"/>
    <s v=" Project Planning"/>
    <n v="2020"/>
    <s v="NextGen Solutions"/>
    <s v="Passionate about Data &amp; Insights"/>
    <x v="0"/>
    <n v="10077"/>
    <n v="12"/>
    <n v="11286.240000000002"/>
  </r>
  <r>
    <x v="6"/>
    <x v="1"/>
    <s v="Marketing"/>
    <s v="Doha, Qatar"/>
    <s v="Senior"/>
    <n v="11"/>
    <s v="B.Com"/>
    <x v="6"/>
    <s v=" Salesforce"/>
    <s v=" Lead Generation"/>
    <n v="2015"/>
    <s v="GlobalCorp"/>
    <s v="Marketing that Converts"/>
    <x v="3"/>
    <n v="7321"/>
    <n v="7"/>
    <n v="7833.47"/>
  </r>
  <r>
    <x v="3"/>
    <x v="5"/>
    <s v="Manufacturing"/>
    <s v="Toronto, Canada"/>
    <s v="Senior"/>
    <n v="18"/>
    <s v="PhD"/>
    <x v="3"/>
    <m/>
    <m/>
    <n v="2021"/>
    <s v="VisionEdge"/>
    <s v="Committed to Continuous Learning"/>
    <x v="4"/>
    <n v="15346"/>
    <n v="10"/>
    <n v="16880.600000000002"/>
  </r>
  <r>
    <x v="9"/>
    <x v="7"/>
    <s v="Telecom"/>
    <s v="London, UK"/>
    <s v="Senior"/>
    <n v="12"/>
    <s v="PhD"/>
    <x v="16"/>
    <m/>
    <m/>
    <n v="2016"/>
    <s v="Zenith Systems"/>
    <s v="Helping Organizations Transform Digitally"/>
    <x v="0"/>
    <n v="11789"/>
    <n v="12"/>
    <n v="13203.680000000002"/>
  </r>
  <r>
    <x v="2"/>
    <x v="9"/>
    <s v="Finance"/>
    <s v="Doha, Qatar"/>
    <s v="Mid-Level"/>
    <n v="9"/>
    <s v="PhD"/>
    <x v="12"/>
    <s v=" Java"/>
    <s v=" C++"/>
    <n v="2016"/>
    <s v="FutureWare"/>
    <s v="Committed to Continuous Learning"/>
    <x v="2"/>
    <n v="12339"/>
    <n v="11"/>
    <n v="13696.29"/>
  </r>
  <r>
    <x v="5"/>
    <x v="3"/>
    <s v="Education"/>
    <s v="London, UK"/>
    <s v="Beginner"/>
    <n v="4"/>
    <s v="B.Tech"/>
    <x v="10"/>
    <s v=" Management"/>
    <s v=" Operations"/>
    <n v="2014"/>
    <s v="SmartWorks"/>
    <s v="Driving Business Growth"/>
    <x v="2"/>
    <n v="10963"/>
    <n v="14"/>
    <n v="12497.820000000002"/>
  </r>
  <r>
    <x v="8"/>
    <x v="1"/>
    <s v="Energy"/>
    <s v="Dubai, UAE"/>
    <s v="Senior"/>
    <n v="11"/>
    <s v="M.Sc"/>
    <x v="14"/>
    <s v=" HR Analytics"/>
    <s v=" Payroll"/>
    <n v="2020"/>
    <s v="FutureWare"/>
    <s v="Committed to Continuous Learning"/>
    <x v="3"/>
    <n v="5526"/>
    <n v="5"/>
    <n v="5802.3"/>
  </r>
  <r>
    <x v="3"/>
    <x v="8"/>
    <s v="Retail"/>
    <s v="Paris, France"/>
    <s v="Senior"/>
    <n v="13"/>
    <s v="BBA"/>
    <x v="13"/>
    <s v=" Scrum"/>
    <s v=" Project Planning"/>
    <n v="2011"/>
    <s v="Zenith Systems"/>
    <s v="Passionate about Data &amp; Insights"/>
    <x v="4"/>
    <n v="14144"/>
    <n v="18"/>
    <n v="16689.919999999998"/>
  </r>
  <r>
    <x v="0"/>
    <x v="9"/>
    <s v="Manufacturing"/>
    <s v="Dubai, UAE"/>
    <s v="Senior"/>
    <n v="16"/>
    <s v="PhD"/>
    <x v="9"/>
    <m/>
    <m/>
    <n v="2013"/>
    <s v="InnovaSoft"/>
    <s v="Helping Organizations Transform Digitally"/>
    <x v="1"/>
    <n v="5096"/>
    <n v="11"/>
    <n v="5656.56"/>
  </r>
  <r>
    <x v="3"/>
    <x v="0"/>
    <s v="Retail"/>
    <s v="Mumbai, India"/>
    <s v="Senior"/>
    <n v="12"/>
    <s v="MCA"/>
    <x v="13"/>
    <s v=" Scrum"/>
    <s v=" Project Planning"/>
    <n v="2013"/>
    <s v="GlobalCorp"/>
    <s v="Passionate about Data &amp; Insights"/>
    <x v="1"/>
    <n v="11924"/>
    <n v="11"/>
    <n v="13235.640000000001"/>
  </r>
  <r>
    <x v="8"/>
    <x v="5"/>
    <s v="Technology"/>
    <s v="Mumbai, India"/>
    <s v="Senior"/>
    <n v="12"/>
    <s v="PhD"/>
    <x v="14"/>
    <s v=" HR Analytics"/>
    <s v=" Payroll"/>
    <n v="2019"/>
    <s v="GlobalCorp"/>
    <s v="Focused on Data-Driven Decisions"/>
    <x v="0"/>
    <n v="10458"/>
    <n v="11"/>
    <n v="11608.380000000001"/>
  </r>
  <r>
    <x v="4"/>
    <x v="8"/>
    <s v="Telecom"/>
    <s v="Toronto, Canada"/>
    <s v="Mid-Level"/>
    <n v="6"/>
    <s v="BBA"/>
    <x v="4"/>
    <s v=" Wireframing"/>
    <m/>
    <n v="2024"/>
    <s v="VisionEdge"/>
    <s v="Helping Organizations Transform Digitally"/>
    <x v="2"/>
    <n v="7904"/>
    <n v="7"/>
    <n v="8457.2800000000007"/>
  </r>
  <r>
    <x v="8"/>
    <x v="8"/>
    <s v="Telecom"/>
    <s v="Berlin, Germany"/>
    <s v="Senior"/>
    <n v="17"/>
    <s v="PhD"/>
    <x v="14"/>
    <s v=" HR Analytics"/>
    <s v=" Payroll"/>
    <n v="2021"/>
    <s v="FutureWare"/>
    <s v="Passionate about Data &amp; Insights"/>
    <x v="2"/>
    <n v="5716"/>
    <n v="10"/>
    <n v="6287.6"/>
  </r>
  <r>
    <x v="4"/>
    <x v="0"/>
    <s v="Consulting"/>
    <s v="Mumbai, India"/>
    <s v="Mid-Level"/>
    <n v="5"/>
    <s v="M.Tech"/>
    <x v="11"/>
    <s v=" Figma"/>
    <s v=" Adobe XD"/>
    <n v="2019"/>
    <s v="NextGen Solutions"/>
    <s v="Marketing that Converts"/>
    <x v="1"/>
    <n v="8118"/>
    <n v="5"/>
    <n v="8523.9"/>
  </r>
  <r>
    <x v="2"/>
    <x v="6"/>
    <s v="Telecom"/>
    <s v="Mumbai, India"/>
    <s v="Beginner"/>
    <n v="3"/>
    <s v="B.Com"/>
    <x v="12"/>
    <s v=" Java"/>
    <s v=" C++"/>
    <n v="2010"/>
    <s v="VisionEdge"/>
    <s v="Committed to Continuous Learning"/>
    <x v="0"/>
    <n v="13865"/>
    <n v="15"/>
    <n v="15944.749999999998"/>
  </r>
  <r>
    <x v="5"/>
    <x v="6"/>
    <s v="Education"/>
    <s v="Toronto, Canada"/>
    <s v="Senior"/>
    <n v="20"/>
    <s v="B.Sc"/>
    <x v="10"/>
    <s v=" Management"/>
    <s v=" Operations"/>
    <n v="2018"/>
    <s v="VisionEdge"/>
    <s v="Marketing that Converts"/>
    <x v="0"/>
    <n v="13885"/>
    <n v="11"/>
    <n v="15412.350000000002"/>
  </r>
  <r>
    <x v="7"/>
    <x v="4"/>
    <s v="Education"/>
    <s v="New York, USA"/>
    <s v="Mid-Level"/>
    <n v="10"/>
    <s v="M.Tech"/>
    <x v="12"/>
    <s v=" SQL"/>
    <s v=" Tableau"/>
    <n v="2019"/>
    <s v="NextGen Solutions"/>
    <s v="Committed to Continuous Learning"/>
    <x v="4"/>
    <n v="9662"/>
    <n v="14"/>
    <n v="11014.680000000002"/>
  </r>
  <r>
    <x v="7"/>
    <x v="2"/>
    <s v="Technology"/>
    <s v="Doha, Qatar"/>
    <s v="Mid-Level"/>
    <n v="8"/>
    <s v="PhD"/>
    <x v="12"/>
    <s v=" SQL"/>
    <s v=" Tableau"/>
    <n v="2018"/>
    <s v="FutureWare"/>
    <s v="Committed to Continuous Learning"/>
    <x v="3"/>
    <n v="8340"/>
    <n v="9"/>
    <n v="9090.6"/>
  </r>
  <r>
    <x v="2"/>
    <x v="2"/>
    <s v="Education"/>
    <s v="Dubai, UAE"/>
    <s v="Mid-Level"/>
    <n v="7"/>
    <s v="B.Tech"/>
    <x v="2"/>
    <s v=" React"/>
    <s v=" Node.js"/>
    <n v="2023"/>
    <s v="FutureWare"/>
    <s v="Innovating User Experiences"/>
    <x v="0"/>
    <n v="10530"/>
    <n v="15"/>
    <n v="12109.499999999998"/>
  </r>
  <r>
    <x v="7"/>
    <x v="8"/>
    <s v="Energy"/>
    <s v="Paris, France"/>
    <s v="Senior"/>
    <n v="16"/>
    <s v="M.Tech"/>
    <x v="12"/>
    <s v=" SQL"/>
    <s v=" Tableau"/>
    <n v="2015"/>
    <s v="NextGen Solutions"/>
    <s v="Turning Data into Strategy"/>
    <x v="0"/>
    <n v="6972"/>
    <n v="8"/>
    <n v="7529.76"/>
  </r>
  <r>
    <x v="7"/>
    <x v="5"/>
    <s v="Consulting"/>
    <s v="Mumbai, India"/>
    <s v="Mid-Level"/>
    <n v="8"/>
    <s v="MCA"/>
    <x v="12"/>
    <s v=" SQL"/>
    <s v=" Tableau"/>
    <n v="2019"/>
    <s v="SmartWorks"/>
    <s v="Focused on Data-Driven Decisions"/>
    <x v="2"/>
    <n v="9858"/>
    <n v="14"/>
    <n v="11238.12"/>
  </r>
  <r>
    <x v="8"/>
    <x v="0"/>
    <s v="Manufacturing"/>
    <s v="Dubai, UAE"/>
    <s v="Mid-Level"/>
    <n v="9"/>
    <s v="B.Tech"/>
    <x v="14"/>
    <s v=" HR Analytics"/>
    <s v=" Payroll"/>
    <n v="2014"/>
    <s v="NextGen Solutions"/>
    <s v="Turning Data into Strategy"/>
    <x v="4"/>
    <n v="8656"/>
    <n v="5"/>
    <n v="9088.8000000000011"/>
  </r>
  <r>
    <x v="1"/>
    <x v="8"/>
    <s v="Marketing"/>
    <s v="Sydney, Australia"/>
    <s v="Senior"/>
    <n v="17"/>
    <s v="BBA"/>
    <x v="1"/>
    <s v=" Data Visualization"/>
    <s v=" SQL"/>
    <n v="2012"/>
    <s v="GlobalCorp"/>
    <s v="Innovating User Experiences"/>
    <x v="3"/>
    <n v="13635"/>
    <n v="23"/>
    <n v="16771.05"/>
  </r>
  <r>
    <x v="7"/>
    <x v="1"/>
    <s v="Finance"/>
    <s v="New York, USA"/>
    <s v="Beginner"/>
    <n v="1"/>
    <s v="BBA"/>
    <x v="7"/>
    <s v=" SQL"/>
    <s v=" Power BI"/>
    <n v="2016"/>
    <s v="GlobalCorp"/>
    <s v="Innovating User Experiences"/>
    <x v="2"/>
    <n v="10866"/>
    <n v="11"/>
    <n v="12061.26"/>
  </r>
  <r>
    <x v="6"/>
    <x v="7"/>
    <s v="Finance"/>
    <s v="Doha, Qatar"/>
    <s v="Senior"/>
    <n v="13"/>
    <s v="B.Tech"/>
    <x v="8"/>
    <s v=" Communication"/>
    <m/>
    <n v="2011"/>
    <s v="VisionEdge"/>
    <s v="Innovating User Experiences"/>
    <x v="3"/>
    <n v="6123"/>
    <n v="10"/>
    <n v="6735.3"/>
  </r>
  <r>
    <x v="5"/>
    <x v="9"/>
    <s v="Finance"/>
    <s v="Mumbai, India"/>
    <s v="Senior"/>
    <n v="13"/>
    <s v="B.Sc"/>
    <x v="10"/>
    <s v=" Management"/>
    <s v=" Operations"/>
    <n v="2016"/>
    <s v="CloudAxis"/>
    <s v="Innovating User Experiences"/>
    <x v="1"/>
    <n v="8436"/>
    <n v="13"/>
    <n v="9532.6799999999985"/>
  </r>
  <r>
    <x v="6"/>
    <x v="7"/>
    <s v="Education"/>
    <s v="Mumbai, India"/>
    <s v="Beginner"/>
    <n v="3"/>
    <s v="B.Tech"/>
    <x v="6"/>
    <s v=" Salesforce"/>
    <s v=" Lead Generation"/>
    <n v="2019"/>
    <s v="VisionEdge"/>
    <s v="Turning Data into Strategy"/>
    <x v="4"/>
    <n v="3666"/>
    <n v="6"/>
    <n v="3885.96"/>
  </r>
  <r>
    <x v="4"/>
    <x v="1"/>
    <s v="Consulting"/>
    <s v="New York, USA"/>
    <s v="Senior"/>
    <n v="20"/>
    <s v="B.Tech"/>
    <x v="11"/>
    <s v=" Figma"/>
    <s v=" Adobe XD"/>
    <n v="2022"/>
    <s v="GlobalCorp"/>
    <s v="Turning Data into Strategy"/>
    <x v="1"/>
    <n v="9465"/>
    <n v="5"/>
    <n v="9938.25"/>
  </r>
  <r>
    <x v="6"/>
    <x v="6"/>
    <s v="Consulting"/>
    <s v="Dubai, UAE"/>
    <s v="Senior"/>
    <n v="19"/>
    <s v="M.Sc"/>
    <x v="8"/>
    <s v=" Communication"/>
    <m/>
    <n v="2011"/>
    <s v="NextGen Solutions"/>
    <s v="Focused on Data-Driven Decisions"/>
    <x v="0"/>
    <n v="6859"/>
    <n v="9"/>
    <n v="7476.31"/>
  </r>
  <r>
    <x v="6"/>
    <x v="7"/>
    <s v="Manufacturing"/>
    <s v="Paris, France"/>
    <s v="Senior"/>
    <n v="18"/>
    <s v="BBA"/>
    <x v="6"/>
    <s v=" Salesforce"/>
    <s v=" Lead Generation"/>
    <n v="2023"/>
    <s v="GlobalCorp"/>
    <s v="Innovating User Experiences"/>
    <x v="2"/>
    <n v="6634"/>
    <n v="9"/>
    <n v="7231.06"/>
  </r>
  <r>
    <x v="9"/>
    <x v="7"/>
    <s v="Telecom"/>
    <s v="London, UK"/>
    <s v="Beginner"/>
    <n v="3"/>
    <s v="BBA"/>
    <x v="16"/>
    <m/>
    <m/>
    <n v="2013"/>
    <s v="InnovaSoft"/>
    <s v="Passionate about Data &amp; Insights"/>
    <x v="1"/>
    <n v="8593"/>
    <n v="10"/>
    <n v="9452.3000000000011"/>
  </r>
  <r>
    <x v="6"/>
    <x v="9"/>
    <s v="Finance"/>
    <s v="Toronto, Canada"/>
    <s v="Senior"/>
    <n v="15"/>
    <s v="B.Sc"/>
    <x v="8"/>
    <s v=" Communication"/>
    <m/>
    <n v="2015"/>
    <s v="BrightData"/>
    <s v="Committed to Continuous Learning"/>
    <x v="3"/>
    <n v="6990"/>
    <n v="5"/>
    <n v="7339.5"/>
  </r>
  <r>
    <x v="5"/>
    <x v="1"/>
    <s v="Education"/>
    <s v="Berlin, Germany"/>
    <s v="Mid-Level"/>
    <n v="7"/>
    <s v="MBA"/>
    <x v="5"/>
    <s v=" Planning"/>
    <m/>
    <n v="2014"/>
    <s v="FutureWare"/>
    <s v="Committed to Continuous Learning"/>
    <x v="0"/>
    <n v="13682"/>
    <n v="8"/>
    <n v="14776.560000000001"/>
  </r>
  <r>
    <x v="1"/>
    <x v="7"/>
    <s v="Telecom"/>
    <s v="New York, USA"/>
    <s v="Senior"/>
    <n v="14"/>
    <s v="B.Tech"/>
    <x v="1"/>
    <s v=" Data Visualization"/>
    <s v=" SQL"/>
    <n v="2019"/>
    <s v="Zenith Systems"/>
    <s v="Building Scalable Tech Solutions"/>
    <x v="1"/>
    <n v="12675"/>
    <n v="25"/>
    <n v="15843.75"/>
  </r>
  <r>
    <x v="0"/>
    <x v="7"/>
    <s v="Retail"/>
    <s v="Singapore"/>
    <s v="Senior"/>
    <n v="15"/>
    <s v="PhD"/>
    <x v="0"/>
    <s v=" Google Ads"/>
    <s v=" Content Marketing"/>
    <n v="2021"/>
    <s v="FutureWare"/>
    <s v="Building Scalable Tech Solutions"/>
    <x v="0"/>
    <n v="7632"/>
    <n v="11"/>
    <n v="8471.52"/>
  </r>
  <r>
    <x v="9"/>
    <x v="1"/>
    <s v="Energy"/>
    <s v="Paris, France"/>
    <s v="Senior"/>
    <n v="19"/>
    <s v="MBA"/>
    <x v="15"/>
    <s v=" Excel"/>
    <s v=" Forecasting"/>
    <n v="2017"/>
    <s v="GlobalCorp"/>
    <s v="Passionate about Data &amp; Insights"/>
    <x v="3"/>
    <n v="6606"/>
    <n v="9"/>
    <n v="7200.5400000000009"/>
  </r>
  <r>
    <x v="1"/>
    <x v="2"/>
    <s v="Retail"/>
    <s v="Dubai, UAE"/>
    <s v="Beginner"/>
    <n v="2"/>
    <s v="B.Tech"/>
    <x v="1"/>
    <s v=" Data Visualization"/>
    <s v=" SQL"/>
    <n v="2011"/>
    <s v="CloudAxis"/>
    <s v="Driving Business Growth"/>
    <x v="2"/>
    <n v="10314"/>
    <n v="11"/>
    <n v="11448.54"/>
  </r>
  <r>
    <x v="8"/>
    <x v="1"/>
    <s v="Retail"/>
    <s v="Singapore"/>
    <s v="Senior"/>
    <n v="11"/>
    <s v="M.Sc"/>
    <x v="17"/>
    <s v=" HRIS"/>
    <m/>
    <n v="2017"/>
    <s v="GlobalCorp"/>
    <s v="Building Scalable Tech Solutions"/>
    <x v="2"/>
    <n v="5643"/>
    <n v="6"/>
    <n v="5981.58"/>
  </r>
  <r>
    <x v="0"/>
    <x v="1"/>
    <s v="Education"/>
    <s v="Singapore"/>
    <s v="Senior"/>
    <n v="11"/>
    <s v="B.Sc"/>
    <x v="0"/>
    <s v=" Google Ads"/>
    <s v=" Content Marketing"/>
    <n v="2025"/>
    <s v="BrightData"/>
    <s v="Focused on Data-Driven Decisions"/>
    <x v="3"/>
    <n v="5946"/>
    <n v="8"/>
    <n v="6421.68"/>
  </r>
  <r>
    <x v="3"/>
    <x v="7"/>
    <s v="Manufacturing"/>
    <s v="Mumbai, India"/>
    <s v="Senior"/>
    <n v="11"/>
    <s v="M.Sc"/>
    <x v="3"/>
    <m/>
    <m/>
    <n v="2023"/>
    <s v="Zenith Systems"/>
    <s v="Committed to Continuous Learning"/>
    <x v="0"/>
    <n v="12809"/>
    <n v="14"/>
    <n v="14602.260000000002"/>
  </r>
  <r>
    <x v="3"/>
    <x v="4"/>
    <s v="Finance"/>
    <s v="Singapore"/>
    <s v="Senior"/>
    <n v="17"/>
    <s v="PhD"/>
    <x v="3"/>
    <m/>
    <m/>
    <n v="2017"/>
    <s v="FutureWare"/>
    <s v="Passionate about Data &amp; Insights"/>
    <x v="2"/>
    <n v="12473"/>
    <n v="13"/>
    <n v="14094.489999999998"/>
  </r>
  <r>
    <x v="9"/>
    <x v="5"/>
    <s v="Energy"/>
    <s v="Dubai, UAE"/>
    <s v="Senior"/>
    <n v="18"/>
    <s v="B.Com"/>
    <x v="15"/>
    <s v=" Excel"/>
    <s v=" Forecasting"/>
    <n v="2019"/>
    <s v="SmartWorks"/>
    <s v="Empowering Teams"/>
    <x v="3"/>
    <n v="7751"/>
    <n v="7"/>
    <n v="8293.57"/>
  </r>
  <r>
    <x v="2"/>
    <x v="2"/>
    <s v="Retail"/>
    <s v="Dubai, UAE"/>
    <s v="Senior"/>
    <n v="20"/>
    <s v="BBA"/>
    <x v="2"/>
    <s v=" React"/>
    <s v=" Node.js"/>
    <n v="2015"/>
    <s v="SmartWorks"/>
    <s v="Marketing that Converts"/>
    <x v="4"/>
    <n v="11237"/>
    <n v="12"/>
    <n v="12585.44"/>
  </r>
  <r>
    <x v="3"/>
    <x v="2"/>
    <s v="Manufacturing"/>
    <s v="Mumbai, India"/>
    <s v="Mid-Level"/>
    <n v="10"/>
    <s v="M.Tech"/>
    <x v="13"/>
    <s v=" Scrum"/>
    <s v=" Project Planning"/>
    <n v="2016"/>
    <s v="BrightData"/>
    <s v="Helping Organizations Transform Digitally"/>
    <x v="1"/>
    <n v="8963"/>
    <n v="13"/>
    <n v="10128.189999999999"/>
  </r>
  <r>
    <x v="3"/>
    <x v="8"/>
    <s v="Manufacturing"/>
    <s v="Berlin, Germany"/>
    <s v="Senior"/>
    <n v="11"/>
    <s v="M.Sc"/>
    <x v="13"/>
    <s v=" Scrum"/>
    <s v=" Project Planning"/>
    <n v="2015"/>
    <s v="NextGen Solutions"/>
    <s v="Innovating User Experiences"/>
    <x v="0"/>
    <n v="11840"/>
    <n v="16"/>
    <n v="13734.4"/>
  </r>
  <r>
    <x v="1"/>
    <x v="6"/>
    <s v="Telecom"/>
    <s v="Mumbai, India"/>
    <s v="Senior"/>
    <n v="12"/>
    <s v="MCA"/>
    <x v="12"/>
    <s v=" Machine Learning"/>
    <s v=" AI"/>
    <n v="2014"/>
    <s v="InnovaSoft"/>
    <s v="Building Scalable Tech Solutions"/>
    <x v="1"/>
    <n v="10128"/>
    <n v="10"/>
    <n v="11140.800000000001"/>
  </r>
  <r>
    <x v="6"/>
    <x v="4"/>
    <s v="Finance"/>
    <s v="Paris, France"/>
    <s v="Senior"/>
    <n v="16"/>
    <s v="M.Sc"/>
    <x v="8"/>
    <s v=" Communication"/>
    <m/>
    <n v="2025"/>
    <s v="TechNova"/>
    <s v="Passionate about Data &amp; Insights"/>
    <x v="4"/>
    <n v="3280"/>
    <n v="4"/>
    <n v="3411.2000000000003"/>
  </r>
  <r>
    <x v="8"/>
    <x v="0"/>
    <s v="Education"/>
    <s v="Dubai, UAE"/>
    <s v="Mid-Level"/>
    <n v="9"/>
    <s v="BBA"/>
    <x v="17"/>
    <s v=" HRIS"/>
    <m/>
    <n v="2016"/>
    <s v="SmartWorks"/>
    <s v="Driving Business Growth"/>
    <x v="3"/>
    <n v="7121"/>
    <n v="11"/>
    <n v="7904.31"/>
  </r>
  <r>
    <x v="9"/>
    <x v="5"/>
    <s v="Finance"/>
    <s v="Berlin, Germany"/>
    <s v="Senior"/>
    <n v="18"/>
    <s v="BBA"/>
    <x v="15"/>
    <s v=" Excel"/>
    <s v=" Forecasting"/>
    <n v="2025"/>
    <s v="BrightData"/>
    <s v="Driving Business Growth"/>
    <x v="1"/>
    <n v="10382"/>
    <n v="10"/>
    <n v="11420.2"/>
  </r>
  <r>
    <x v="5"/>
    <x v="7"/>
    <s v="Marketing"/>
    <s v="Toronto, Canada"/>
    <s v="Beginner"/>
    <n v="1"/>
    <s v="PhD"/>
    <x v="5"/>
    <s v=" Planning"/>
    <m/>
    <n v="2017"/>
    <s v="NextGen Solutions"/>
    <s v="Empowering Teams"/>
    <x v="4"/>
    <n v="13124"/>
    <n v="12"/>
    <n v="14698.880000000001"/>
  </r>
  <r>
    <x v="8"/>
    <x v="5"/>
    <s v="Marketing"/>
    <s v="London, UK"/>
    <s v="Beginner"/>
    <n v="3"/>
    <s v="MCA"/>
    <x v="17"/>
    <s v=" HRIS"/>
    <m/>
    <n v="2016"/>
    <s v="VisionEdge"/>
    <s v="Helping Organizations Transform Digitally"/>
    <x v="3"/>
    <n v="6113"/>
    <n v="5"/>
    <n v="6418.6500000000005"/>
  </r>
  <r>
    <x v="8"/>
    <x v="7"/>
    <s v="Technology"/>
    <s v="Paris, France"/>
    <s v="Senior"/>
    <n v="13"/>
    <s v="MBA"/>
    <x v="17"/>
    <s v=" HRIS"/>
    <m/>
    <n v="2011"/>
    <s v="NextGen Solutions"/>
    <s v="Building Scalable Tech Solutions"/>
    <x v="1"/>
    <n v="10066"/>
    <n v="7"/>
    <n v="10770.62"/>
  </r>
  <r>
    <x v="3"/>
    <x v="0"/>
    <s v="Telecom"/>
    <s v="Mumbai, India"/>
    <s v="Mid-Level"/>
    <n v="7"/>
    <s v="B.Sc"/>
    <x v="3"/>
    <m/>
    <m/>
    <n v="2021"/>
    <s v="CloudAxis"/>
    <s v="Helping Organizations Transform Digitally"/>
    <x v="0"/>
    <n v="12396"/>
    <n v="14"/>
    <n v="14131.440000000002"/>
  </r>
  <r>
    <x v="2"/>
    <x v="0"/>
    <s v="Telecom"/>
    <s v="Sydney, Australia"/>
    <s v="Senior"/>
    <n v="11"/>
    <s v="PhD"/>
    <x v="12"/>
    <s v=" Java"/>
    <s v=" C++"/>
    <n v="2011"/>
    <s v="Zenith Systems"/>
    <s v="Building Scalable Tech Solutions"/>
    <x v="2"/>
    <n v="9109"/>
    <n v="10"/>
    <n v="10019.900000000001"/>
  </r>
  <r>
    <x v="5"/>
    <x v="8"/>
    <s v="Energy"/>
    <s v="Sydney, Australia"/>
    <s v="Beginner"/>
    <n v="4"/>
    <s v="B.Sc"/>
    <x v="10"/>
    <s v=" Management"/>
    <s v=" Operations"/>
    <n v="2013"/>
    <s v="VisionEdge"/>
    <s v="Focused on Data-Driven Decisions"/>
    <x v="0"/>
    <n v="11984"/>
    <n v="9"/>
    <n v="13062.560000000001"/>
  </r>
  <r>
    <x v="2"/>
    <x v="2"/>
    <s v="Education"/>
    <s v="Singapore"/>
    <s v="Beginner"/>
    <n v="4"/>
    <s v="B.Sc"/>
    <x v="12"/>
    <s v=" Java"/>
    <s v=" C++"/>
    <n v="2024"/>
    <s v="NextGen Solutions"/>
    <s v="Committed to Continuous Learning"/>
    <x v="4"/>
    <n v="11558"/>
    <n v="9"/>
    <n v="12598.220000000001"/>
  </r>
  <r>
    <x v="9"/>
    <x v="8"/>
    <s v="Telecom"/>
    <s v="London, UK"/>
    <s v="Mid-Level"/>
    <n v="6"/>
    <s v="B.Sc"/>
    <x v="15"/>
    <s v=" Excel"/>
    <s v=" Forecasting"/>
    <n v="2022"/>
    <s v="VisionEdge"/>
    <s v="Focused on Data-Driven Decisions"/>
    <x v="3"/>
    <n v="7028"/>
    <n v="8"/>
    <n v="7590.2400000000007"/>
  </r>
  <r>
    <x v="3"/>
    <x v="3"/>
    <s v="Energy"/>
    <s v="New York, USA"/>
    <s v="Mid-Level"/>
    <n v="9"/>
    <s v="M.Sc"/>
    <x v="3"/>
    <m/>
    <m/>
    <n v="2017"/>
    <s v="CloudAxis"/>
    <s v="Empowering Teams"/>
    <x v="2"/>
    <n v="8670"/>
    <n v="9"/>
    <n v="9450.3000000000011"/>
  </r>
  <r>
    <x v="2"/>
    <x v="8"/>
    <s v="Manufacturing"/>
    <s v="London, UK"/>
    <s v="Senior"/>
    <n v="11"/>
    <s v="BBA"/>
    <x v="12"/>
    <s v=" Java"/>
    <s v=" C++"/>
    <n v="2010"/>
    <s v="TechNova"/>
    <s v="Innovating User Experiences"/>
    <x v="1"/>
    <n v="8524"/>
    <n v="13"/>
    <n v="9632.119999999999"/>
  </r>
  <r>
    <x v="5"/>
    <x v="6"/>
    <s v="Retail"/>
    <s v="Doha, Qatar"/>
    <s v="Senior"/>
    <n v="19"/>
    <s v="MBA"/>
    <x v="5"/>
    <s v=" Planning"/>
    <m/>
    <n v="2020"/>
    <s v="InnovaSoft"/>
    <s v="Driving Business Growth"/>
    <x v="1"/>
    <n v="13270"/>
    <n v="8"/>
    <n v="14331.6"/>
  </r>
  <r>
    <x v="0"/>
    <x v="0"/>
    <s v="Energy"/>
    <s v="Toronto, Canada"/>
    <s v="Senior"/>
    <n v="12"/>
    <s v="B.Com"/>
    <x v="9"/>
    <m/>
    <m/>
    <n v="2020"/>
    <s v="SmartWorks"/>
    <s v="Marketing that Converts"/>
    <x v="1"/>
    <n v="8666"/>
    <n v="9"/>
    <n v="9445.94"/>
  </r>
  <r>
    <x v="8"/>
    <x v="2"/>
    <s v="Healthcare"/>
    <s v="Sydney, Australia"/>
    <s v="Senior"/>
    <n v="16"/>
    <s v="B.Tech"/>
    <x v="17"/>
    <s v=" HRIS"/>
    <m/>
    <n v="2025"/>
    <s v="TechNova"/>
    <s v="Helping Organizations Transform Digitally"/>
    <x v="2"/>
    <n v="7033"/>
    <n v="7"/>
    <n v="7525.31"/>
  </r>
  <r>
    <x v="5"/>
    <x v="5"/>
    <s v="Healthcare"/>
    <s v="Mumbai, India"/>
    <s v="Senior"/>
    <n v="11"/>
    <s v="M.Sc"/>
    <x v="10"/>
    <s v=" Management"/>
    <s v=" Operations"/>
    <n v="2025"/>
    <s v="Zenith Systems"/>
    <s v="Turning Data into Strategy"/>
    <x v="3"/>
    <n v="10613"/>
    <n v="8"/>
    <n v="11462.04"/>
  </r>
  <r>
    <x v="0"/>
    <x v="9"/>
    <s v="Education"/>
    <s v="Singapore"/>
    <s v="Mid-Level"/>
    <n v="6"/>
    <s v="B.Sc"/>
    <x v="0"/>
    <s v=" Google Ads"/>
    <s v=" Content Marketing"/>
    <n v="2013"/>
    <s v="GlobalCorp"/>
    <s v="Marketing that Converts"/>
    <x v="0"/>
    <n v="4552"/>
    <n v="9"/>
    <n v="4961.68"/>
  </r>
  <r>
    <x v="3"/>
    <x v="0"/>
    <s v="Manufacturing"/>
    <s v="Dubai, UAE"/>
    <s v="Mid-Level"/>
    <n v="9"/>
    <s v="MCA"/>
    <x v="3"/>
    <m/>
    <m/>
    <n v="2017"/>
    <s v="BrightData"/>
    <s v="Empowering Teams"/>
    <x v="3"/>
    <n v="8734"/>
    <n v="17"/>
    <n v="10218.779999999999"/>
  </r>
  <r>
    <x v="5"/>
    <x v="2"/>
    <s v="Retail"/>
    <s v="Mumbai, India"/>
    <s v="Senior"/>
    <n v="17"/>
    <s v="B.Tech"/>
    <x v="10"/>
    <s v=" Management"/>
    <s v=" Operations"/>
    <n v="2018"/>
    <s v="BrightData"/>
    <s v="Building Scalable Tech Solutions"/>
    <x v="3"/>
    <n v="7740"/>
    <n v="15"/>
    <n v="8901"/>
  </r>
  <r>
    <x v="9"/>
    <x v="5"/>
    <s v="Telecom"/>
    <s v="Paris, France"/>
    <s v="Senior"/>
    <n v="14"/>
    <s v="BBA"/>
    <x v="15"/>
    <s v=" Excel"/>
    <s v=" Forecasting"/>
    <n v="2013"/>
    <s v="Zenith Systems"/>
    <s v="Helping Organizations Transform Digitally"/>
    <x v="2"/>
    <n v="7633"/>
    <n v="12"/>
    <n v="8548.9600000000009"/>
  </r>
  <r>
    <x v="7"/>
    <x v="1"/>
    <s v="Consulting"/>
    <s v="Dubai, UAE"/>
    <s v="Senior"/>
    <n v="17"/>
    <s v="M.Tech"/>
    <x v="7"/>
    <s v=" SQL"/>
    <s v=" Power BI"/>
    <n v="2025"/>
    <s v="VisionEdge"/>
    <s v="Innovating User Experiences"/>
    <x v="4"/>
    <n v="8644"/>
    <n v="9"/>
    <n v="9421.9600000000009"/>
  </r>
  <r>
    <x v="3"/>
    <x v="2"/>
    <s v="Technology"/>
    <s v="Berlin, Germany"/>
    <s v="Senior"/>
    <n v="12"/>
    <s v="B.Com"/>
    <x v="3"/>
    <m/>
    <m/>
    <n v="2024"/>
    <s v="InnovaSoft"/>
    <s v="Passionate about Data &amp; Insights"/>
    <x v="3"/>
    <n v="12406"/>
    <n v="14"/>
    <n v="14142.840000000002"/>
  </r>
  <r>
    <x v="4"/>
    <x v="9"/>
    <s v="Consulting"/>
    <s v="London, UK"/>
    <s v="Mid-Level"/>
    <n v="7"/>
    <s v="M.Sc"/>
    <x v="4"/>
    <s v=" Wireframing"/>
    <m/>
    <n v="2025"/>
    <s v="SmartWorks"/>
    <s v="Building Scalable Tech Solutions"/>
    <x v="3"/>
    <n v="11841"/>
    <n v="11"/>
    <n v="13143.510000000002"/>
  </r>
  <r>
    <x v="5"/>
    <x v="1"/>
    <s v="Consulting"/>
    <s v="Paris, France"/>
    <s v="Senior"/>
    <n v="18"/>
    <s v="MCA"/>
    <x v="10"/>
    <s v=" Management"/>
    <s v=" Operations"/>
    <n v="2025"/>
    <s v="Zenith Systems"/>
    <s v="Passionate about Data &amp; Insights"/>
    <x v="1"/>
    <n v="9676"/>
    <n v="14"/>
    <n v="11030.640000000001"/>
  </r>
  <r>
    <x v="0"/>
    <x v="3"/>
    <s v="Finance"/>
    <s v="Sydney, Australia"/>
    <s v="Beginner"/>
    <n v="3"/>
    <s v="B.Sc"/>
    <x v="0"/>
    <s v=" Google Ads"/>
    <s v=" Content Marketing"/>
    <n v="2011"/>
    <s v="FutureWare"/>
    <s v="Turning Data into Strategy"/>
    <x v="0"/>
    <n v="9492"/>
    <n v="8"/>
    <n v="10251.36"/>
  </r>
  <r>
    <x v="4"/>
    <x v="0"/>
    <s v="Technology"/>
    <s v="Paris, France"/>
    <s v="Mid-Level"/>
    <n v="9"/>
    <s v="BBA"/>
    <x v="11"/>
    <s v=" Figma"/>
    <s v=" Adobe XD"/>
    <n v="2012"/>
    <s v="VisionEdge"/>
    <s v="Committed to Continuous Learning"/>
    <x v="1"/>
    <n v="6623"/>
    <n v="12"/>
    <n v="7417.7600000000011"/>
  </r>
  <r>
    <x v="0"/>
    <x v="1"/>
    <s v="Consulting"/>
    <s v="Doha, Qatar"/>
    <s v="Senior"/>
    <n v="19"/>
    <s v="M.Sc"/>
    <x v="0"/>
    <s v=" Google Ads"/>
    <s v=" Content Marketing"/>
    <n v="2024"/>
    <s v="SmartWorks"/>
    <s v="Turning Data into Strategy"/>
    <x v="4"/>
    <n v="5956"/>
    <n v="9"/>
    <n v="6492.0400000000009"/>
  </r>
  <r>
    <x v="0"/>
    <x v="0"/>
    <s v="Technology"/>
    <s v="Toronto, Canada"/>
    <s v="Senior"/>
    <n v="11"/>
    <s v="B.Sc"/>
    <x v="0"/>
    <s v=" Google Ads"/>
    <s v=" Content Marketing"/>
    <n v="2015"/>
    <s v="CloudAxis"/>
    <s v="Turning Data into Strategy"/>
    <x v="0"/>
    <n v="8956"/>
    <n v="6"/>
    <n v="9493.36"/>
  </r>
  <r>
    <x v="5"/>
    <x v="6"/>
    <s v="Telecom"/>
    <s v="Dubai, UAE"/>
    <s v="Beginner"/>
    <n v="3"/>
    <s v="MCA"/>
    <x v="5"/>
    <s v=" Planning"/>
    <m/>
    <n v="2012"/>
    <s v="TechNova"/>
    <s v="Committed to Continuous Learning"/>
    <x v="1"/>
    <n v="11127"/>
    <n v="12"/>
    <n v="12462.240000000002"/>
  </r>
  <r>
    <x v="3"/>
    <x v="3"/>
    <s v="Healthcare"/>
    <s v="Paris, France"/>
    <s v="Mid-Level"/>
    <n v="8"/>
    <s v="MCA"/>
    <x v="13"/>
    <s v=" Scrum"/>
    <s v=" Project Planning"/>
    <n v="2021"/>
    <s v="TechNova"/>
    <s v="Passionate about Data &amp; Insights"/>
    <x v="1"/>
    <n v="11488"/>
    <n v="11"/>
    <n v="12751.68"/>
  </r>
  <r>
    <x v="6"/>
    <x v="8"/>
    <s v="Energy"/>
    <s v="Sydney, Australia"/>
    <s v="Mid-Level"/>
    <n v="8"/>
    <s v="M.Tech"/>
    <x v="6"/>
    <s v=" Salesforce"/>
    <s v=" Lead Generation"/>
    <n v="2025"/>
    <s v="VisionEdge"/>
    <s v="Helping Organizations Transform Digitally"/>
    <x v="1"/>
    <n v="4585"/>
    <n v="4"/>
    <n v="4768.4000000000005"/>
  </r>
  <r>
    <x v="7"/>
    <x v="8"/>
    <s v="Retail"/>
    <s v="Dubai, UAE"/>
    <s v="Mid-Level"/>
    <n v="9"/>
    <s v="B.Com"/>
    <x v="7"/>
    <s v=" SQL"/>
    <s v=" Power BI"/>
    <n v="2020"/>
    <s v="GlobalCorp"/>
    <s v="Innovating User Experiences"/>
    <x v="2"/>
    <n v="9160"/>
    <n v="14"/>
    <n v="10442.400000000001"/>
  </r>
  <r>
    <x v="2"/>
    <x v="5"/>
    <s v="Retail"/>
    <s v="Singapore"/>
    <s v="Mid-Level"/>
    <n v="5"/>
    <s v="B.Com"/>
    <x v="2"/>
    <s v=" React"/>
    <s v=" Node.js"/>
    <n v="2012"/>
    <s v="NextGen Solutions"/>
    <s v="Empowering Teams"/>
    <x v="1"/>
    <n v="9963"/>
    <n v="14"/>
    <n v="11357.820000000002"/>
  </r>
  <r>
    <x v="0"/>
    <x v="9"/>
    <s v="Consulting"/>
    <s v="Toronto, Canada"/>
    <s v="Senior"/>
    <n v="17"/>
    <s v="MCA"/>
    <x v="9"/>
    <m/>
    <m/>
    <n v="2016"/>
    <s v="CloudAxis"/>
    <s v="Passionate about Data &amp; Insights"/>
    <x v="1"/>
    <n v="7469"/>
    <n v="7"/>
    <n v="7991.8300000000008"/>
  </r>
  <r>
    <x v="3"/>
    <x v="2"/>
    <s v="Marketing"/>
    <s v="Berlin, Germany"/>
    <s v="Senior"/>
    <n v="13"/>
    <s v="M.Sc"/>
    <x v="3"/>
    <m/>
    <m/>
    <n v="2013"/>
    <s v="CloudAxis"/>
    <s v="Helping Organizations Transform Digitally"/>
    <x v="0"/>
    <n v="12145"/>
    <n v="9"/>
    <n v="13238.050000000001"/>
  </r>
  <r>
    <x v="6"/>
    <x v="1"/>
    <s v="Technology"/>
    <s v="Dubai, UAE"/>
    <s v="Mid-Level"/>
    <n v="10"/>
    <s v="PhD"/>
    <x v="6"/>
    <s v=" Salesforce"/>
    <s v=" Lead Generation"/>
    <n v="2011"/>
    <s v="TechNova"/>
    <s v="Helping Organizations Transform Digitally"/>
    <x v="2"/>
    <n v="3740"/>
    <n v="7"/>
    <n v="4001.8"/>
  </r>
  <r>
    <x v="0"/>
    <x v="4"/>
    <s v="Education"/>
    <s v="Paris, France"/>
    <s v="Senior"/>
    <n v="11"/>
    <s v="PhD"/>
    <x v="9"/>
    <m/>
    <m/>
    <n v="2014"/>
    <s v="VisionEdge"/>
    <s v="Marketing that Converts"/>
    <x v="1"/>
    <n v="6923"/>
    <n v="6"/>
    <n v="7338.38"/>
  </r>
  <r>
    <x v="9"/>
    <x v="5"/>
    <s v="Telecom"/>
    <s v="Singapore"/>
    <s v="Senior"/>
    <n v="20"/>
    <s v="BBA"/>
    <x v="16"/>
    <m/>
    <m/>
    <n v="2013"/>
    <s v="GlobalCorp"/>
    <s v="Focused on Data-Driven Decisions"/>
    <x v="4"/>
    <n v="9195"/>
    <n v="13"/>
    <n v="10390.349999999999"/>
  </r>
  <r>
    <x v="9"/>
    <x v="0"/>
    <s v="Telecom"/>
    <s v="London, UK"/>
    <s v="Beginner"/>
    <n v="4"/>
    <s v="MCA"/>
    <x v="16"/>
    <m/>
    <m/>
    <n v="2021"/>
    <s v="CloudAxis"/>
    <s v="Innovating User Experiences"/>
    <x v="2"/>
    <n v="10690"/>
    <n v="14"/>
    <n v="12186.600000000002"/>
  </r>
  <r>
    <x v="1"/>
    <x v="5"/>
    <s v="Consulting"/>
    <s v="London, UK"/>
    <s v="Senior"/>
    <n v="20"/>
    <s v="MCA"/>
    <x v="1"/>
    <s v=" Data Visualization"/>
    <s v=" SQL"/>
    <n v="2012"/>
    <s v="GlobalCorp"/>
    <s v="Empowering Teams"/>
    <x v="3"/>
    <n v="13729"/>
    <n v="10"/>
    <n v="15101.900000000001"/>
  </r>
  <r>
    <x v="3"/>
    <x v="9"/>
    <s v="Manufacturing"/>
    <s v="Paris, France"/>
    <s v="Senior"/>
    <n v="15"/>
    <s v="MBA"/>
    <x v="13"/>
    <s v=" Scrum"/>
    <s v=" Project Planning"/>
    <n v="2021"/>
    <s v="TechNova"/>
    <s v="Focused on Data-Driven Decisions"/>
    <x v="3"/>
    <n v="15315"/>
    <n v="9"/>
    <n v="16693.350000000002"/>
  </r>
  <r>
    <x v="4"/>
    <x v="3"/>
    <s v="Finance"/>
    <s v="Toronto, Canada"/>
    <s v="Senior"/>
    <n v="14"/>
    <s v="PhD"/>
    <x v="4"/>
    <s v=" Wireframing"/>
    <m/>
    <n v="2015"/>
    <s v="GlobalCorp"/>
    <s v="Helping Organizations Transform Digitally"/>
    <x v="2"/>
    <n v="8780"/>
    <n v="7"/>
    <n v="9394.6"/>
  </r>
  <r>
    <x v="2"/>
    <x v="8"/>
    <s v="Energy"/>
    <s v="Singapore"/>
    <s v="Mid-Level"/>
    <n v="10"/>
    <s v="M.Tech"/>
    <x v="12"/>
    <s v=" Java"/>
    <s v=" C++"/>
    <n v="2013"/>
    <s v="BrightData"/>
    <s v="Driving Business Growth"/>
    <x v="1"/>
    <n v="12916"/>
    <n v="9"/>
    <n v="14078.44"/>
  </r>
  <r>
    <x v="7"/>
    <x v="8"/>
    <s v="Consulting"/>
    <s v="Dubai, UAE"/>
    <s v="Senior"/>
    <n v="16"/>
    <s v="M.Tech"/>
    <x v="7"/>
    <s v=" SQL"/>
    <s v=" Power BI"/>
    <n v="2023"/>
    <s v="GlobalCorp"/>
    <s v="Empowering Teams"/>
    <x v="1"/>
    <n v="8898"/>
    <n v="10"/>
    <n v="9787.8000000000011"/>
  </r>
  <r>
    <x v="1"/>
    <x v="6"/>
    <s v="Finance"/>
    <s v="London, UK"/>
    <s v="Senior"/>
    <n v="11"/>
    <s v="MCA"/>
    <x v="1"/>
    <s v=" Data Visualization"/>
    <s v=" SQL"/>
    <n v="2025"/>
    <s v="FutureWare"/>
    <s v="Empowering Teams"/>
    <x v="0"/>
    <n v="17789"/>
    <n v="23"/>
    <n v="21880.47"/>
  </r>
  <r>
    <x v="8"/>
    <x v="5"/>
    <s v="Marketing"/>
    <s v="Doha, Qatar"/>
    <s v="Senior"/>
    <n v="11"/>
    <s v="MBA"/>
    <x v="17"/>
    <s v=" HRIS"/>
    <m/>
    <n v="2024"/>
    <s v="SmartWorks"/>
    <s v="Focused on Data-Driven Decisions"/>
    <x v="4"/>
    <n v="6208"/>
    <n v="5"/>
    <n v="6518.4000000000005"/>
  </r>
  <r>
    <x v="3"/>
    <x v="4"/>
    <s v="Manufacturing"/>
    <s v="Berlin, Germany"/>
    <s v="Senior"/>
    <n v="14"/>
    <s v="BBA"/>
    <x v="3"/>
    <m/>
    <m/>
    <n v="2022"/>
    <s v="VisionEdge"/>
    <s v="Focused on Data-Driven Decisions"/>
    <x v="3"/>
    <n v="14709"/>
    <n v="17"/>
    <n v="17209.53"/>
  </r>
  <r>
    <x v="0"/>
    <x v="0"/>
    <s v="Consulting"/>
    <s v="Berlin, Germany"/>
    <s v="Mid-Level"/>
    <n v="8"/>
    <s v="MBA"/>
    <x v="0"/>
    <s v=" Google Ads"/>
    <s v=" Content Marketing"/>
    <n v="2017"/>
    <s v="CloudAxis"/>
    <s v="Innovating User Experiences"/>
    <x v="2"/>
    <n v="4920"/>
    <n v="8"/>
    <n v="5313.6"/>
  </r>
  <r>
    <x v="3"/>
    <x v="3"/>
    <s v="Consulting"/>
    <s v="London, UK"/>
    <s v="Mid-Level"/>
    <n v="10"/>
    <s v="B.Com"/>
    <x v="3"/>
    <m/>
    <m/>
    <n v="2023"/>
    <s v="InnovaSoft"/>
    <s v="Innovating User Experiences"/>
    <x v="0"/>
    <n v="9291"/>
    <n v="14"/>
    <n v="10591.740000000002"/>
  </r>
  <r>
    <x v="2"/>
    <x v="3"/>
    <s v="Energy"/>
    <s v="Berlin, Germany"/>
    <s v="Senior"/>
    <n v="19"/>
    <s v="M.Sc"/>
    <x v="2"/>
    <s v=" React"/>
    <s v=" Node.js"/>
    <n v="2012"/>
    <s v="SmartWorks"/>
    <s v="Turning Data into Strategy"/>
    <x v="1"/>
    <n v="14643"/>
    <n v="8"/>
    <n v="15814.44"/>
  </r>
  <r>
    <x v="2"/>
    <x v="3"/>
    <s v="Technology"/>
    <s v="Berlin, Germany"/>
    <s v="Senior"/>
    <n v="16"/>
    <s v="MBA"/>
    <x v="2"/>
    <s v=" React"/>
    <s v=" Node.js"/>
    <n v="2015"/>
    <s v="NextGen Solutions"/>
    <s v="Committed to Continuous Learning"/>
    <x v="0"/>
    <n v="9859"/>
    <n v="8"/>
    <n v="10647.720000000001"/>
  </r>
  <r>
    <x v="3"/>
    <x v="4"/>
    <s v="Technology"/>
    <s v="Toronto, Canada"/>
    <s v="Mid-Level"/>
    <n v="9"/>
    <s v="B.Sc"/>
    <x v="13"/>
    <s v=" Scrum"/>
    <s v=" Project Planning"/>
    <n v="2016"/>
    <s v="InnovaSoft"/>
    <s v="Committed to Continuous Learning"/>
    <x v="3"/>
    <n v="9447"/>
    <n v="14"/>
    <n v="10769.580000000002"/>
  </r>
  <r>
    <x v="1"/>
    <x v="7"/>
    <s v="Consulting"/>
    <s v="Toronto, Canada"/>
    <s v="Senior"/>
    <n v="20"/>
    <s v="M.Sc"/>
    <x v="12"/>
    <s v=" Machine Learning"/>
    <s v=" AI"/>
    <n v="2017"/>
    <s v="VisionEdge"/>
    <s v="Driving Business Growth"/>
    <x v="3"/>
    <n v="11316"/>
    <n v="24"/>
    <n v="14031.84"/>
  </r>
  <r>
    <x v="7"/>
    <x v="5"/>
    <s v="Manufacturing"/>
    <s v="Doha, Qatar"/>
    <s v="Senior"/>
    <n v="16"/>
    <s v="M.Sc"/>
    <x v="7"/>
    <s v=" SQL"/>
    <s v=" Power BI"/>
    <n v="2012"/>
    <s v="GlobalCorp"/>
    <s v="Innovating User Experiences"/>
    <x v="0"/>
    <n v="10122"/>
    <n v="11"/>
    <n v="11235.420000000002"/>
  </r>
  <r>
    <x v="4"/>
    <x v="4"/>
    <s v="Energy"/>
    <s v="Doha, Qatar"/>
    <s v="Mid-Level"/>
    <n v="8"/>
    <s v="M.Sc"/>
    <x v="11"/>
    <s v=" Figma"/>
    <s v=" Adobe XD"/>
    <n v="2011"/>
    <s v="VisionEdge"/>
    <s v="Focused on Data-Driven Decisions"/>
    <x v="4"/>
    <n v="11885"/>
    <n v="5"/>
    <n v="12479.25"/>
  </r>
  <r>
    <x v="3"/>
    <x v="0"/>
    <s v="Energy"/>
    <s v="Sydney, Australia"/>
    <s v="Senior"/>
    <n v="14"/>
    <s v="B.Tech"/>
    <x v="3"/>
    <m/>
    <m/>
    <n v="2013"/>
    <s v="NextGen Solutions"/>
    <s v="Passionate about Data &amp; Insights"/>
    <x v="0"/>
    <n v="13590"/>
    <n v="15"/>
    <n v="15628.499999999998"/>
  </r>
  <r>
    <x v="4"/>
    <x v="0"/>
    <s v="Consulting"/>
    <s v="Singapore"/>
    <s v="Senior"/>
    <n v="13"/>
    <s v="MCA"/>
    <x v="4"/>
    <s v=" Wireframing"/>
    <m/>
    <n v="2024"/>
    <s v="VisionEdge"/>
    <s v="Passionate about Data &amp; Insights"/>
    <x v="4"/>
    <n v="6195"/>
    <n v="5"/>
    <n v="6504.75"/>
  </r>
  <r>
    <x v="7"/>
    <x v="3"/>
    <s v="Finance"/>
    <s v="Singapore"/>
    <s v="Beginner"/>
    <n v="2"/>
    <s v="M.Tech"/>
    <x v="7"/>
    <s v=" SQL"/>
    <s v=" Power BI"/>
    <n v="2017"/>
    <s v="SmartWorks"/>
    <s v="Empowering Teams"/>
    <x v="2"/>
    <n v="7577"/>
    <n v="5"/>
    <n v="7955.85"/>
  </r>
  <r>
    <x v="9"/>
    <x v="6"/>
    <s v="Consulting"/>
    <s v="Paris, France"/>
    <s v="Mid-Level"/>
    <n v="10"/>
    <s v="MBA"/>
    <x v="16"/>
    <m/>
    <m/>
    <n v="2013"/>
    <s v="SmartWorks"/>
    <s v="Innovating User Experiences"/>
    <x v="0"/>
    <n v="11200"/>
    <n v="12"/>
    <n v="12544.000000000002"/>
  </r>
  <r>
    <x v="4"/>
    <x v="1"/>
    <s v="Telecom"/>
    <s v="Toronto, Canada"/>
    <s v="Senior"/>
    <n v="20"/>
    <s v="BBA"/>
    <x v="11"/>
    <s v=" Figma"/>
    <s v=" Adobe XD"/>
    <n v="2017"/>
    <s v="SmartWorks"/>
    <s v="Innovating User Experiences"/>
    <x v="0"/>
    <n v="7829"/>
    <n v="10"/>
    <n v="8611.9000000000015"/>
  </r>
  <r>
    <x v="7"/>
    <x v="3"/>
    <s v="Consulting"/>
    <s v="Paris, France"/>
    <s v="Mid-Level"/>
    <n v="9"/>
    <s v="M.Tech"/>
    <x v="7"/>
    <s v=" SQL"/>
    <s v=" Power BI"/>
    <n v="2015"/>
    <s v="GlobalCorp"/>
    <s v="Driving Business Growth"/>
    <x v="4"/>
    <n v="9439"/>
    <n v="12"/>
    <n v="10571.68"/>
  </r>
  <r>
    <x v="7"/>
    <x v="1"/>
    <s v="Telecom"/>
    <s v="Sydney, Australia"/>
    <s v="Senior"/>
    <n v="14"/>
    <s v="B.Sc"/>
    <x v="7"/>
    <s v=" SQL"/>
    <s v=" Power BI"/>
    <n v="2024"/>
    <s v="BrightData"/>
    <s v="Building Scalable Tech Solutions"/>
    <x v="4"/>
    <n v="9977"/>
    <n v="15"/>
    <n v="11473.55"/>
  </r>
  <r>
    <x v="0"/>
    <x v="9"/>
    <s v="Consulting"/>
    <s v="Berlin, Germany"/>
    <s v="Mid-Level"/>
    <n v="5"/>
    <s v="B.Tech"/>
    <x v="9"/>
    <m/>
    <m/>
    <n v="2014"/>
    <s v="FutureWare"/>
    <s v="Marketing that Converts"/>
    <x v="3"/>
    <n v="8915"/>
    <n v="11"/>
    <n v="9895.6500000000015"/>
  </r>
  <r>
    <x v="2"/>
    <x v="3"/>
    <s v="Education"/>
    <s v="New York, USA"/>
    <s v="Mid-Level"/>
    <n v="7"/>
    <s v="BBA"/>
    <x v="2"/>
    <s v=" React"/>
    <s v=" Node.js"/>
    <n v="2012"/>
    <s v="SmartWorks"/>
    <s v="Passionate about Data &amp; Insights"/>
    <x v="3"/>
    <n v="12785"/>
    <n v="20"/>
    <n v="15342"/>
  </r>
  <r>
    <x v="4"/>
    <x v="2"/>
    <s v="Finance"/>
    <s v="Dubai, UAE"/>
    <s v="Senior"/>
    <n v="19"/>
    <s v="MCA"/>
    <x v="4"/>
    <s v=" Wireframing"/>
    <m/>
    <n v="2016"/>
    <s v="VisionEdge"/>
    <s v="Passionate about Data &amp; Insights"/>
    <x v="1"/>
    <n v="11860"/>
    <n v="12"/>
    <n v="13283.2"/>
  </r>
  <r>
    <x v="2"/>
    <x v="0"/>
    <s v="Energy"/>
    <s v="Mumbai, India"/>
    <s v="Mid-Level"/>
    <n v="8"/>
    <s v="B.Tech"/>
    <x v="12"/>
    <s v=" Java"/>
    <s v=" C++"/>
    <n v="2018"/>
    <s v="FutureWare"/>
    <s v="Marketing that Converts"/>
    <x v="0"/>
    <n v="9235"/>
    <n v="16"/>
    <n v="10712.599999999999"/>
  </r>
  <r>
    <x v="1"/>
    <x v="0"/>
    <s v="Healthcare"/>
    <s v="Dubai, UAE"/>
    <s v="Mid-Level"/>
    <n v="7"/>
    <s v="MCA"/>
    <x v="1"/>
    <s v=" Data Visualization"/>
    <s v=" SQL"/>
    <n v="2017"/>
    <s v="BrightData"/>
    <s v="Marketing that Converts"/>
    <x v="2"/>
    <n v="11316"/>
    <n v="11"/>
    <n v="12560.76"/>
  </r>
  <r>
    <x v="3"/>
    <x v="2"/>
    <s v="Manufacturing"/>
    <s v="New York, USA"/>
    <s v="Senior"/>
    <n v="14"/>
    <s v="B.Sc"/>
    <x v="3"/>
    <m/>
    <m/>
    <n v="2015"/>
    <s v="TechNova"/>
    <s v="Marketing that Converts"/>
    <x v="1"/>
    <n v="9133"/>
    <n v="14"/>
    <n v="10411.620000000001"/>
  </r>
  <r>
    <x v="2"/>
    <x v="3"/>
    <s v="Marketing"/>
    <s v="Doha, Qatar"/>
    <s v="Mid-Level"/>
    <n v="6"/>
    <s v="B.Com"/>
    <x v="2"/>
    <s v=" React"/>
    <s v=" Node.js"/>
    <n v="2023"/>
    <s v="BrightData"/>
    <s v="Driving Business Growth"/>
    <x v="0"/>
    <n v="10399"/>
    <n v="19"/>
    <n v="12374.81"/>
  </r>
  <r>
    <x v="2"/>
    <x v="9"/>
    <s v="Education"/>
    <s v="Singapore"/>
    <s v="Senior"/>
    <n v="17"/>
    <s v="BBA"/>
    <x v="12"/>
    <s v=" Java"/>
    <s v=" C++"/>
    <n v="2017"/>
    <s v="GlobalCorp"/>
    <s v="Passionate about Data &amp; Insights"/>
    <x v="1"/>
    <n v="13013"/>
    <n v="13"/>
    <n v="14704.689999999999"/>
  </r>
  <r>
    <x v="8"/>
    <x v="0"/>
    <s v="Education"/>
    <s v="Dubai, UAE"/>
    <s v="Mid-Level"/>
    <n v="5"/>
    <s v="BBA"/>
    <x v="14"/>
    <s v=" HR Analytics"/>
    <s v=" Payroll"/>
    <n v="2020"/>
    <s v="GlobalCorp"/>
    <s v="Driving Business Growth"/>
    <x v="4"/>
    <n v="6054"/>
    <n v="6"/>
    <n v="6417.2400000000007"/>
  </r>
  <r>
    <x v="1"/>
    <x v="9"/>
    <s v="Healthcare"/>
    <s v="Singapore"/>
    <s v="Mid-Level"/>
    <n v="10"/>
    <s v="PhD"/>
    <x v="12"/>
    <s v=" Machine Learning"/>
    <s v=" AI"/>
    <n v="2010"/>
    <s v="CloudAxis"/>
    <s v="Committed to Continuous Learning"/>
    <x v="1"/>
    <n v="11793"/>
    <n v="25"/>
    <n v="14741.25"/>
  </r>
  <r>
    <x v="6"/>
    <x v="9"/>
    <s v="Retail"/>
    <s v="Doha, Qatar"/>
    <s v="Beginner"/>
    <n v="3"/>
    <s v="B.Sc"/>
    <x v="8"/>
    <s v=" Communication"/>
    <m/>
    <n v="2015"/>
    <s v="BrightData"/>
    <s v="Focused on Data-Driven Decisions"/>
    <x v="3"/>
    <n v="4749"/>
    <n v="5"/>
    <n v="4986.45"/>
  </r>
  <r>
    <x v="2"/>
    <x v="5"/>
    <s v="Healthcare"/>
    <s v="Singapore"/>
    <s v="Senior"/>
    <n v="19"/>
    <s v="PhD"/>
    <x v="2"/>
    <s v=" React"/>
    <s v=" Node.js"/>
    <n v="2023"/>
    <s v="Zenith Systems"/>
    <s v="Marketing that Converts"/>
    <x v="3"/>
    <n v="10103"/>
    <n v="9"/>
    <n v="11012.27"/>
  </r>
  <r>
    <x v="6"/>
    <x v="5"/>
    <s v="Consulting"/>
    <s v="Berlin, Germany"/>
    <s v="Senior"/>
    <n v="14"/>
    <s v="B.Com"/>
    <x v="6"/>
    <s v=" Salesforce"/>
    <s v=" Lead Generation"/>
    <n v="2023"/>
    <s v="Zenith Systems"/>
    <s v="Driving Business Growth"/>
    <x v="2"/>
    <n v="3346"/>
    <n v="4"/>
    <n v="3479.84"/>
  </r>
  <r>
    <x v="4"/>
    <x v="9"/>
    <s v="Consulting"/>
    <s v="Mumbai, India"/>
    <s v="Senior"/>
    <n v="13"/>
    <s v="B.Sc"/>
    <x v="4"/>
    <s v=" Wireframing"/>
    <m/>
    <n v="2023"/>
    <s v="GlobalCorp"/>
    <s v="Committed to Continuous Learning"/>
    <x v="0"/>
    <n v="9736"/>
    <n v="6"/>
    <n v="10320.16"/>
  </r>
  <r>
    <x v="9"/>
    <x v="3"/>
    <s v="Retail"/>
    <s v="Mumbai, India"/>
    <s v="Mid-Level"/>
    <n v="6"/>
    <s v="B.Tech"/>
    <x v="15"/>
    <s v=" Excel"/>
    <s v=" Forecasting"/>
    <n v="2024"/>
    <s v="SmartWorks"/>
    <s v="Building Scalable Tech Solutions"/>
    <x v="4"/>
    <n v="6977"/>
    <n v="10"/>
    <n v="7674.7000000000007"/>
  </r>
  <r>
    <x v="9"/>
    <x v="2"/>
    <s v="Finance"/>
    <s v="Mumbai, India"/>
    <s v="Mid-Level"/>
    <n v="7"/>
    <s v="M.Sc"/>
    <x v="15"/>
    <s v=" Excel"/>
    <s v=" Forecasting"/>
    <n v="2025"/>
    <s v="GlobalCorp"/>
    <s v="Driving Business Growth"/>
    <x v="3"/>
    <n v="10025"/>
    <n v="12"/>
    <n v="11228.000000000002"/>
  </r>
  <r>
    <x v="8"/>
    <x v="7"/>
    <s v="Education"/>
    <s v="Toronto, Canada"/>
    <s v="Senior"/>
    <n v="14"/>
    <s v="B.Com"/>
    <x v="14"/>
    <s v=" HR Analytics"/>
    <s v=" Payroll"/>
    <n v="2011"/>
    <s v="FutureWare"/>
    <s v="Helping Organizations Transform Digitally"/>
    <x v="1"/>
    <n v="8271"/>
    <n v="9"/>
    <n v="9015.3900000000012"/>
  </r>
  <r>
    <x v="7"/>
    <x v="7"/>
    <s v="Technology"/>
    <s v="Mumbai, India"/>
    <s v="Mid-Level"/>
    <n v="10"/>
    <s v="M.Tech"/>
    <x v="12"/>
    <s v=" SQL"/>
    <s v=" Tableau"/>
    <n v="2012"/>
    <s v="FutureWare"/>
    <s v="Committed to Continuous Learning"/>
    <x v="2"/>
    <n v="11203"/>
    <n v="5"/>
    <n v="11763.15"/>
  </r>
  <r>
    <x v="3"/>
    <x v="8"/>
    <s v="Consulting"/>
    <s v="Berlin, Germany"/>
    <s v="Senior"/>
    <n v="11"/>
    <s v="B.Com"/>
    <x v="13"/>
    <s v=" Scrum"/>
    <s v=" Project Planning"/>
    <n v="2015"/>
    <s v="GlobalCorp"/>
    <s v="Committed to Continuous Learning"/>
    <x v="1"/>
    <n v="12564"/>
    <n v="12"/>
    <n v="14071.680000000002"/>
  </r>
  <r>
    <x v="3"/>
    <x v="9"/>
    <s v="Healthcare"/>
    <s v="London, UK"/>
    <s v="Mid-Level"/>
    <n v="8"/>
    <s v="MBA"/>
    <x v="13"/>
    <s v=" Scrum"/>
    <s v=" Project Planning"/>
    <n v="2012"/>
    <s v="SmartWorks"/>
    <s v="Committed to Continuous Learning"/>
    <x v="1"/>
    <n v="9465"/>
    <n v="17"/>
    <n v="11074.05"/>
  </r>
  <r>
    <x v="1"/>
    <x v="3"/>
    <s v="Marketing"/>
    <s v="Toronto, Canada"/>
    <s v="Senior"/>
    <n v="19"/>
    <s v="PhD"/>
    <x v="1"/>
    <s v=" Data Visualization"/>
    <s v=" SQL"/>
    <n v="2023"/>
    <s v="TechNova"/>
    <s v="Building Scalable Tech Solutions"/>
    <x v="2"/>
    <n v="12652"/>
    <n v="20"/>
    <n v="15182.4"/>
  </r>
  <r>
    <x v="2"/>
    <x v="7"/>
    <s v="Education"/>
    <s v="Paris, France"/>
    <s v="Beginner"/>
    <n v="1"/>
    <s v="MCA"/>
    <x v="2"/>
    <s v=" React"/>
    <s v=" Node.js"/>
    <n v="2024"/>
    <s v="GlobalCorp"/>
    <s v="Committed to Continuous Learning"/>
    <x v="0"/>
    <n v="13206"/>
    <n v="13"/>
    <n v="14922.779999999999"/>
  </r>
  <r>
    <x v="2"/>
    <x v="7"/>
    <s v="Telecom"/>
    <s v="Berlin, Germany"/>
    <s v="Beginner"/>
    <n v="3"/>
    <s v="BBA"/>
    <x v="2"/>
    <s v=" React"/>
    <s v=" Node.js"/>
    <n v="2024"/>
    <s v="Zenith Systems"/>
    <s v="Passionate about Data &amp; Insights"/>
    <x v="0"/>
    <n v="12908"/>
    <n v="16"/>
    <n v="14973.279999999999"/>
  </r>
  <r>
    <x v="0"/>
    <x v="8"/>
    <s v="Finance"/>
    <s v="Doha, Qatar"/>
    <s v="Senior"/>
    <n v="16"/>
    <s v="MBA"/>
    <x v="9"/>
    <m/>
    <m/>
    <n v="2022"/>
    <s v="InnovaSoft"/>
    <s v="Passionate about Data &amp; Insights"/>
    <x v="1"/>
    <n v="9421"/>
    <n v="10"/>
    <n v="10363.1"/>
  </r>
  <r>
    <x v="9"/>
    <x v="1"/>
    <s v="Technology"/>
    <s v="Toronto, Canada"/>
    <s v="Senior"/>
    <n v="17"/>
    <s v="B.Com"/>
    <x v="15"/>
    <s v=" Excel"/>
    <s v=" Forecasting"/>
    <n v="2023"/>
    <s v="FutureWare"/>
    <s v="Passionate about Data &amp; Insights"/>
    <x v="1"/>
    <n v="8454"/>
    <n v="11"/>
    <n v="9383.94"/>
  </r>
  <r>
    <x v="0"/>
    <x v="6"/>
    <s v="Retail"/>
    <s v="Toronto, Canada"/>
    <s v="Senior"/>
    <n v="17"/>
    <s v="B.Sc"/>
    <x v="9"/>
    <m/>
    <m/>
    <n v="2018"/>
    <s v="InnovaSoft"/>
    <s v="Helping Organizations Transform Digitally"/>
    <x v="4"/>
    <n v="7876"/>
    <n v="6"/>
    <n v="8348.5600000000013"/>
  </r>
  <r>
    <x v="8"/>
    <x v="9"/>
    <s v="Technology"/>
    <s v="Paris, France"/>
    <s v="Senior"/>
    <n v="11"/>
    <s v="M.Sc"/>
    <x v="17"/>
    <s v=" HRIS"/>
    <m/>
    <n v="2023"/>
    <s v="NextGen Solutions"/>
    <s v="Focused on Data-Driven Decisions"/>
    <x v="1"/>
    <n v="10540"/>
    <n v="7"/>
    <n v="11277.800000000001"/>
  </r>
  <r>
    <x v="2"/>
    <x v="5"/>
    <s v="Healthcare"/>
    <s v="Paris, France"/>
    <s v="Mid-Level"/>
    <n v="7"/>
    <s v="B.Sc"/>
    <x v="12"/>
    <s v=" Java"/>
    <s v=" C++"/>
    <n v="2017"/>
    <s v="FutureWare"/>
    <s v="Empowering Teams"/>
    <x v="1"/>
    <n v="9086"/>
    <n v="20"/>
    <n v="10903.199999999999"/>
  </r>
  <r>
    <x v="3"/>
    <x v="8"/>
    <s v="Education"/>
    <s v="Mumbai, India"/>
    <s v="Beginner"/>
    <n v="2"/>
    <s v="B.Tech"/>
    <x v="3"/>
    <m/>
    <m/>
    <n v="2010"/>
    <s v="InnovaSoft"/>
    <s v="Building Scalable Tech Solutions"/>
    <x v="0"/>
    <n v="10869"/>
    <n v="14"/>
    <n v="12390.660000000002"/>
  </r>
  <r>
    <x v="0"/>
    <x v="6"/>
    <s v="Energy"/>
    <s v="Mumbai, India"/>
    <s v="Senior"/>
    <n v="12"/>
    <s v="B.Sc"/>
    <x v="0"/>
    <s v=" Google Ads"/>
    <s v=" Content Marketing"/>
    <n v="2024"/>
    <s v="InnovaSoft"/>
    <s v="Driving Business Growth"/>
    <x v="1"/>
    <n v="4967"/>
    <n v="6"/>
    <n v="5265.02"/>
  </r>
  <r>
    <x v="8"/>
    <x v="5"/>
    <s v="Healthcare"/>
    <s v="Berlin, Germany"/>
    <s v="Senior"/>
    <n v="11"/>
    <s v="MCA"/>
    <x v="17"/>
    <s v=" HRIS"/>
    <m/>
    <n v="2018"/>
    <s v="VisionEdge"/>
    <s v="Building Scalable Tech Solutions"/>
    <x v="1"/>
    <n v="7721"/>
    <n v="10"/>
    <n v="8493.1"/>
  </r>
  <r>
    <x v="3"/>
    <x v="0"/>
    <s v="Retail"/>
    <s v="Paris, France"/>
    <s v="Mid-Level"/>
    <n v="7"/>
    <s v="M.Sc"/>
    <x v="13"/>
    <s v=" Scrum"/>
    <s v=" Project Planning"/>
    <n v="2018"/>
    <s v="VisionEdge"/>
    <s v="Passionate about Data &amp; Insights"/>
    <x v="0"/>
    <n v="8505"/>
    <n v="8"/>
    <n v="9185.4000000000015"/>
  </r>
  <r>
    <x v="4"/>
    <x v="0"/>
    <s v="Consulting"/>
    <s v="Toronto, Canada"/>
    <s v="Beginner"/>
    <n v="1"/>
    <s v="PhD"/>
    <x v="4"/>
    <s v=" Wireframing"/>
    <m/>
    <n v="2016"/>
    <s v="VisionEdge"/>
    <s v="Focused on Data-Driven Decisions"/>
    <x v="4"/>
    <n v="10158"/>
    <n v="10"/>
    <n v="11173.800000000001"/>
  </r>
  <r>
    <x v="0"/>
    <x v="4"/>
    <s v="Marketing"/>
    <s v="New York, USA"/>
    <s v="Senior"/>
    <n v="17"/>
    <s v="BBA"/>
    <x v="9"/>
    <m/>
    <m/>
    <n v="2010"/>
    <s v="SmartWorks"/>
    <s v="Marketing that Converts"/>
    <x v="2"/>
    <n v="6124"/>
    <n v="11"/>
    <n v="6797.64"/>
  </r>
  <r>
    <x v="4"/>
    <x v="2"/>
    <s v="Education"/>
    <s v="Mumbai, India"/>
    <s v="Senior"/>
    <n v="16"/>
    <s v="B.Sc"/>
    <x v="4"/>
    <s v=" Wireframing"/>
    <m/>
    <n v="2012"/>
    <s v="TechNova"/>
    <s v="Passionate about Data &amp; Insights"/>
    <x v="3"/>
    <n v="5751"/>
    <n v="9"/>
    <n v="6268.59"/>
  </r>
  <r>
    <x v="8"/>
    <x v="8"/>
    <s v="Manufacturing"/>
    <s v="Singapore"/>
    <s v="Senior"/>
    <n v="16"/>
    <s v="B.Tech"/>
    <x v="17"/>
    <s v=" HRIS"/>
    <m/>
    <n v="2023"/>
    <s v="NextGen Solutions"/>
    <s v="Turning Data into Strategy"/>
    <x v="2"/>
    <n v="9930"/>
    <n v="12"/>
    <n v="11121.6"/>
  </r>
  <r>
    <x v="9"/>
    <x v="9"/>
    <s v="Consulting"/>
    <s v="Singapore"/>
    <s v="Beginner"/>
    <n v="4"/>
    <s v="M.Sc"/>
    <x v="15"/>
    <s v=" Excel"/>
    <s v=" Forecasting"/>
    <n v="2013"/>
    <s v="VisionEdge"/>
    <s v="Building Scalable Tech Solutions"/>
    <x v="0"/>
    <n v="7857"/>
    <n v="7"/>
    <n v="8406.99"/>
  </r>
  <r>
    <x v="6"/>
    <x v="5"/>
    <s v="Retail"/>
    <s v="Dubai, UAE"/>
    <s v="Senior"/>
    <n v="13"/>
    <s v="BBA"/>
    <x v="6"/>
    <s v=" Salesforce"/>
    <s v=" Lead Generation"/>
    <n v="2015"/>
    <s v="CloudAxis"/>
    <s v="Passionate about Data &amp; Insights"/>
    <x v="2"/>
    <n v="3774"/>
    <n v="9"/>
    <n v="4113.66"/>
  </r>
  <r>
    <x v="4"/>
    <x v="8"/>
    <s v="Telecom"/>
    <s v="Paris, France"/>
    <s v="Senior"/>
    <n v="19"/>
    <s v="BBA"/>
    <x v="4"/>
    <s v=" Wireframing"/>
    <m/>
    <n v="2018"/>
    <s v="NextGen Solutions"/>
    <s v="Empowering Teams"/>
    <x v="3"/>
    <n v="11694"/>
    <n v="7"/>
    <n v="12512.58"/>
  </r>
  <r>
    <x v="3"/>
    <x v="2"/>
    <s v="Technology"/>
    <s v="Singapore"/>
    <s v="Senior"/>
    <n v="11"/>
    <s v="MCA"/>
    <x v="3"/>
    <m/>
    <m/>
    <n v="2022"/>
    <s v="BrightData"/>
    <s v="Innovating User Experiences"/>
    <x v="3"/>
    <n v="13664"/>
    <n v="10"/>
    <n v="15030.400000000001"/>
  </r>
  <r>
    <x v="0"/>
    <x v="1"/>
    <s v="Consulting"/>
    <s v="Mumbai, India"/>
    <s v="Senior"/>
    <n v="19"/>
    <s v="B.Tech"/>
    <x v="9"/>
    <m/>
    <m/>
    <n v="2011"/>
    <s v="SmartWorks"/>
    <s v="Empowering Teams"/>
    <x v="3"/>
    <n v="7795"/>
    <n v="8"/>
    <n v="8418.6"/>
  </r>
  <r>
    <x v="3"/>
    <x v="3"/>
    <s v="Manufacturing"/>
    <s v="Doha, Qatar"/>
    <s v="Beginner"/>
    <n v="4"/>
    <s v="B.Com"/>
    <x v="13"/>
    <s v=" Scrum"/>
    <s v=" Project Planning"/>
    <n v="2016"/>
    <s v="VisionEdge"/>
    <s v="Marketing that Converts"/>
    <x v="3"/>
    <n v="9200"/>
    <n v="14"/>
    <n v="10488.000000000002"/>
  </r>
  <r>
    <x v="6"/>
    <x v="5"/>
    <s v="Finance"/>
    <s v="Doha, Qatar"/>
    <s v="Beginner"/>
    <n v="3"/>
    <s v="B.Sc"/>
    <x v="8"/>
    <s v=" Communication"/>
    <m/>
    <n v="2019"/>
    <s v="SmartWorks"/>
    <s v="Focused on Data-Driven Decisions"/>
    <x v="0"/>
    <n v="8684"/>
    <n v="6"/>
    <n v="9205.0400000000009"/>
  </r>
  <r>
    <x v="2"/>
    <x v="1"/>
    <s v="Marketing"/>
    <s v="London, UK"/>
    <s v="Mid-Level"/>
    <n v="6"/>
    <s v="B.Tech"/>
    <x v="2"/>
    <s v=" React"/>
    <s v=" Node.js"/>
    <n v="2021"/>
    <s v="VisionEdge"/>
    <s v="Focused on Data-Driven Decisions"/>
    <x v="4"/>
    <n v="10550"/>
    <n v="8"/>
    <n v="11394"/>
  </r>
  <r>
    <x v="5"/>
    <x v="0"/>
    <s v="Manufacturing"/>
    <s v="Toronto, Canada"/>
    <s v="Beginner"/>
    <n v="2"/>
    <s v="PhD"/>
    <x v="5"/>
    <s v=" Planning"/>
    <m/>
    <n v="2017"/>
    <s v="TechNova"/>
    <s v="Committed to Continuous Learning"/>
    <x v="2"/>
    <n v="9355"/>
    <n v="8"/>
    <n v="10103.400000000001"/>
  </r>
  <r>
    <x v="0"/>
    <x v="3"/>
    <s v="Energy"/>
    <s v="Paris, France"/>
    <s v="Mid-Level"/>
    <n v="10"/>
    <s v="MCA"/>
    <x v="0"/>
    <s v=" Google Ads"/>
    <s v=" Content Marketing"/>
    <n v="2010"/>
    <s v="CloudAxis"/>
    <s v="Building Scalable Tech Solutions"/>
    <x v="2"/>
    <n v="7727"/>
    <n v="10"/>
    <n v="8499.7000000000007"/>
  </r>
  <r>
    <x v="6"/>
    <x v="0"/>
    <s v="Education"/>
    <s v="Berlin, Germany"/>
    <s v="Beginner"/>
    <n v="2"/>
    <s v="BBA"/>
    <x v="6"/>
    <s v=" Salesforce"/>
    <s v=" Lead Generation"/>
    <n v="2021"/>
    <s v="GlobalCorp"/>
    <s v="Passionate about Data &amp; Insights"/>
    <x v="4"/>
    <n v="4863"/>
    <n v="6"/>
    <n v="5154.7800000000007"/>
  </r>
  <r>
    <x v="2"/>
    <x v="3"/>
    <s v="Consulting"/>
    <s v="Toronto, Canada"/>
    <s v="Senior"/>
    <n v="17"/>
    <s v="MBA"/>
    <x v="2"/>
    <s v=" React"/>
    <s v=" Node.js"/>
    <n v="2024"/>
    <s v="NextGen Solutions"/>
    <s v="Turning Data into Strategy"/>
    <x v="4"/>
    <n v="9328"/>
    <n v="11"/>
    <n v="10354.080000000002"/>
  </r>
  <r>
    <x v="8"/>
    <x v="0"/>
    <s v="Telecom"/>
    <s v="London, UK"/>
    <s v="Beginner"/>
    <n v="4"/>
    <s v="BBA"/>
    <x v="17"/>
    <s v=" HRIS"/>
    <m/>
    <n v="2016"/>
    <s v="Zenith Systems"/>
    <s v="Building Scalable Tech Solutions"/>
    <x v="0"/>
    <n v="7852"/>
    <n v="7"/>
    <n v="8401.6400000000012"/>
  </r>
  <r>
    <x v="6"/>
    <x v="9"/>
    <s v="Healthcare"/>
    <s v="Berlin, Germany"/>
    <s v="Senior"/>
    <n v="20"/>
    <s v="MBA"/>
    <x v="6"/>
    <s v=" Salesforce"/>
    <s v=" Lead Generation"/>
    <n v="2021"/>
    <s v="NextGen Solutions"/>
    <s v="Building Scalable Tech Solutions"/>
    <x v="1"/>
    <n v="3838"/>
    <n v="7"/>
    <n v="4106.66"/>
  </r>
  <r>
    <x v="8"/>
    <x v="9"/>
    <s v="Energy"/>
    <s v="Doha, Qatar"/>
    <s v="Beginner"/>
    <n v="4"/>
    <s v="PhD"/>
    <x v="17"/>
    <s v=" HRIS"/>
    <m/>
    <n v="2023"/>
    <s v="GlobalCorp"/>
    <s v="Helping Organizations Transform Digitally"/>
    <x v="2"/>
    <n v="8241"/>
    <n v="12"/>
    <n v="9229.92"/>
  </r>
  <r>
    <x v="6"/>
    <x v="4"/>
    <s v="Technology"/>
    <s v="Berlin, Germany"/>
    <s v="Beginner"/>
    <n v="4"/>
    <s v="MBA"/>
    <x v="8"/>
    <s v=" Communication"/>
    <m/>
    <n v="2014"/>
    <s v="SmartWorks"/>
    <s v="Committed to Continuous Learning"/>
    <x v="4"/>
    <n v="3066"/>
    <n v="9"/>
    <n v="3341.94"/>
  </r>
  <r>
    <x v="4"/>
    <x v="9"/>
    <s v="Marketing"/>
    <s v="London, UK"/>
    <s v="Beginner"/>
    <n v="1"/>
    <s v="PhD"/>
    <x v="4"/>
    <s v=" Wireframing"/>
    <m/>
    <n v="2011"/>
    <s v="SmartWorks"/>
    <s v="Passionate about Data &amp; Insights"/>
    <x v="1"/>
    <n v="5742"/>
    <n v="8"/>
    <n v="6201.3600000000006"/>
  </r>
  <r>
    <x v="7"/>
    <x v="2"/>
    <s v="Education"/>
    <s v="Dubai, UAE"/>
    <s v="Mid-Level"/>
    <n v="7"/>
    <s v="MBA"/>
    <x v="12"/>
    <s v=" SQL"/>
    <s v=" Tableau"/>
    <n v="2010"/>
    <s v="SmartWorks"/>
    <s v="Marketing that Converts"/>
    <x v="2"/>
    <n v="5554"/>
    <n v="15"/>
    <n v="6387.0999999999995"/>
  </r>
  <r>
    <x v="4"/>
    <x v="3"/>
    <s v="Retail"/>
    <s v="Doha, Qatar"/>
    <s v="Mid-Level"/>
    <n v="8"/>
    <s v="PhD"/>
    <x v="4"/>
    <s v=" Wireframing"/>
    <m/>
    <n v="2025"/>
    <s v="InnovaSoft"/>
    <s v="Committed to Continuous Learning"/>
    <x v="3"/>
    <n v="9797"/>
    <n v="7"/>
    <n v="10482.790000000001"/>
  </r>
  <r>
    <x v="5"/>
    <x v="7"/>
    <s v="Technology"/>
    <s v="Doha, Qatar"/>
    <s v="Senior"/>
    <n v="20"/>
    <s v="PhD"/>
    <x v="10"/>
    <s v=" Management"/>
    <s v=" Operations"/>
    <n v="2025"/>
    <s v="Zenith Systems"/>
    <s v="Passionate about Data &amp; Insights"/>
    <x v="0"/>
    <n v="8184"/>
    <n v="10"/>
    <n v="9002.4000000000015"/>
  </r>
  <r>
    <x v="6"/>
    <x v="7"/>
    <s v="Telecom"/>
    <s v="Sydney, Australia"/>
    <s v="Mid-Level"/>
    <n v="7"/>
    <s v="B.Sc"/>
    <x v="6"/>
    <s v=" Salesforce"/>
    <s v=" Lead Generation"/>
    <n v="2016"/>
    <s v="InnovaSoft"/>
    <s v="Focused on Data-Driven Decisions"/>
    <x v="3"/>
    <n v="6219"/>
    <n v="4"/>
    <n v="6467.76"/>
  </r>
  <r>
    <x v="2"/>
    <x v="9"/>
    <s v="Energy"/>
    <s v="Berlin, Germany"/>
    <s v="Mid-Level"/>
    <n v="8"/>
    <s v="MBA"/>
    <x v="2"/>
    <s v=" React"/>
    <s v=" Node.js"/>
    <n v="2019"/>
    <s v="VisionEdge"/>
    <s v="Empowering Teams"/>
    <x v="2"/>
    <n v="12132"/>
    <n v="13"/>
    <n v="13709.159999999998"/>
  </r>
  <r>
    <x v="7"/>
    <x v="1"/>
    <s v="Consulting"/>
    <s v="London, UK"/>
    <s v="Beginner"/>
    <n v="4"/>
    <s v="MBA"/>
    <x v="7"/>
    <s v=" SQL"/>
    <s v=" Power BI"/>
    <n v="2021"/>
    <s v="VisionEdge"/>
    <s v="Driving Business Growth"/>
    <x v="1"/>
    <n v="5550"/>
    <n v="12"/>
    <n v="6216.0000000000009"/>
  </r>
  <r>
    <x v="8"/>
    <x v="9"/>
    <s v="Retail"/>
    <s v="Toronto, Canada"/>
    <s v="Beginner"/>
    <n v="4"/>
    <s v="PhD"/>
    <x v="17"/>
    <s v=" HRIS"/>
    <m/>
    <n v="2020"/>
    <s v="VisionEdge"/>
    <s v="Turning Data into Strategy"/>
    <x v="4"/>
    <n v="8603"/>
    <n v="8"/>
    <n v="9291.24"/>
  </r>
  <r>
    <x v="8"/>
    <x v="2"/>
    <s v="Marketing"/>
    <s v="Dubai, UAE"/>
    <s v="Senior"/>
    <n v="14"/>
    <s v="MCA"/>
    <x v="14"/>
    <s v=" HR Analytics"/>
    <s v=" Payroll"/>
    <n v="2020"/>
    <s v="FutureWare"/>
    <s v="Turning Data into Strategy"/>
    <x v="0"/>
    <n v="9586"/>
    <n v="6"/>
    <n v="10161.16"/>
  </r>
  <r>
    <x v="9"/>
    <x v="2"/>
    <s v="Retail"/>
    <s v="Berlin, Germany"/>
    <s v="Beginner"/>
    <n v="1"/>
    <s v="B.Sc"/>
    <x v="16"/>
    <m/>
    <m/>
    <n v="2015"/>
    <s v="NextGen Solutions"/>
    <s v="Helping Organizations Transform Digitally"/>
    <x v="1"/>
    <n v="6248"/>
    <n v="10"/>
    <n v="6872.8"/>
  </r>
  <r>
    <x v="6"/>
    <x v="2"/>
    <s v="Energy"/>
    <s v="New York, USA"/>
    <s v="Beginner"/>
    <n v="3"/>
    <s v="M.Tech"/>
    <x v="6"/>
    <s v=" Salesforce"/>
    <s v=" Lead Generation"/>
    <n v="2025"/>
    <s v="TechNova"/>
    <s v="Turning Data into Strategy"/>
    <x v="3"/>
    <n v="6909"/>
    <n v="5"/>
    <n v="7254.4500000000007"/>
  </r>
  <r>
    <x v="5"/>
    <x v="6"/>
    <s v="Retail"/>
    <s v="Toronto, Canada"/>
    <s v="Mid-Level"/>
    <n v="8"/>
    <s v="M.Tech"/>
    <x v="10"/>
    <s v=" Management"/>
    <s v=" Operations"/>
    <n v="2016"/>
    <s v="SmartWorks"/>
    <s v="Turning Data into Strategy"/>
    <x v="2"/>
    <n v="12147"/>
    <n v="11"/>
    <n v="13483.170000000002"/>
  </r>
  <r>
    <x v="3"/>
    <x v="5"/>
    <s v="Telecom"/>
    <s v="London, UK"/>
    <s v="Mid-Level"/>
    <n v="6"/>
    <s v="MCA"/>
    <x v="13"/>
    <s v=" Scrum"/>
    <s v=" Project Planning"/>
    <n v="2024"/>
    <s v="CloudAxis"/>
    <s v="Passionate about Data &amp; Insights"/>
    <x v="3"/>
    <n v="14756"/>
    <n v="10"/>
    <n v="16231.600000000002"/>
  </r>
  <r>
    <x v="8"/>
    <x v="4"/>
    <s v="Healthcare"/>
    <s v="Singapore"/>
    <s v="Beginner"/>
    <n v="1"/>
    <s v="B.Com"/>
    <x v="17"/>
    <s v=" HRIS"/>
    <m/>
    <n v="2024"/>
    <s v="NextGen Solutions"/>
    <s v="Helping Organizations Transform Digitally"/>
    <x v="4"/>
    <n v="7062"/>
    <n v="5"/>
    <n v="7415.1"/>
  </r>
  <r>
    <x v="4"/>
    <x v="6"/>
    <s v="Energy"/>
    <s v="Doha, Qatar"/>
    <s v="Senior"/>
    <n v="18"/>
    <s v="PhD"/>
    <x v="11"/>
    <s v=" Figma"/>
    <s v=" Adobe XD"/>
    <n v="2022"/>
    <s v="InnovaSoft"/>
    <s v="Helping Organizations Transform Digitally"/>
    <x v="2"/>
    <n v="5363"/>
    <n v="7"/>
    <n v="5738.4100000000008"/>
  </r>
  <r>
    <x v="2"/>
    <x v="6"/>
    <s v="Manufacturing"/>
    <s v="Berlin, Germany"/>
    <s v="Senior"/>
    <n v="14"/>
    <s v="MBA"/>
    <x v="12"/>
    <s v=" Java"/>
    <s v=" C++"/>
    <n v="2022"/>
    <s v="GlobalCorp"/>
    <s v="Building Scalable Tech Solutions"/>
    <x v="4"/>
    <n v="11319"/>
    <n v="19"/>
    <n v="13469.609999999999"/>
  </r>
  <r>
    <x v="1"/>
    <x v="5"/>
    <s v="Education"/>
    <s v="New York, USA"/>
    <s v="Beginner"/>
    <n v="3"/>
    <s v="MCA"/>
    <x v="1"/>
    <s v=" Data Visualization"/>
    <s v=" SQL"/>
    <n v="2018"/>
    <s v="TechNova"/>
    <s v="Focused on Data-Driven Decisions"/>
    <x v="3"/>
    <n v="11582"/>
    <n v="15"/>
    <n v="13319.3"/>
  </r>
  <r>
    <x v="2"/>
    <x v="3"/>
    <s v="Technology"/>
    <s v="Paris, France"/>
    <s v="Mid-Level"/>
    <n v="10"/>
    <s v="BBA"/>
    <x v="12"/>
    <s v=" Java"/>
    <s v=" C++"/>
    <n v="2014"/>
    <s v="InnovaSoft"/>
    <s v="Marketing that Converts"/>
    <x v="0"/>
    <n v="8549"/>
    <n v="16"/>
    <n v="9916.84"/>
  </r>
  <r>
    <x v="2"/>
    <x v="2"/>
    <s v="Healthcare"/>
    <s v="Singapore"/>
    <s v="Mid-Level"/>
    <n v="10"/>
    <s v="M.Tech"/>
    <x v="12"/>
    <s v=" Java"/>
    <s v=" C++"/>
    <n v="2015"/>
    <s v="SmartWorks"/>
    <s v="Passionate about Data &amp; Insights"/>
    <x v="3"/>
    <n v="9430"/>
    <n v="19"/>
    <n v="11221.699999999999"/>
  </r>
  <r>
    <x v="3"/>
    <x v="9"/>
    <s v="Manufacturing"/>
    <s v="Singapore"/>
    <s v="Mid-Level"/>
    <n v="10"/>
    <s v="M.Tech"/>
    <x v="13"/>
    <s v=" Scrum"/>
    <s v=" Project Planning"/>
    <n v="2011"/>
    <s v="BrightData"/>
    <s v="Building Scalable Tech Solutions"/>
    <x v="3"/>
    <n v="11137"/>
    <n v="10"/>
    <n v="12250.7"/>
  </r>
  <r>
    <x v="8"/>
    <x v="4"/>
    <s v="Manufacturing"/>
    <s v="Sydney, Australia"/>
    <s v="Beginner"/>
    <n v="3"/>
    <s v="M.Tech"/>
    <x v="17"/>
    <s v=" HRIS"/>
    <m/>
    <n v="2012"/>
    <s v="BrightData"/>
    <s v="Focused on Data-Driven Decisions"/>
    <x v="1"/>
    <n v="6958"/>
    <n v="10"/>
    <n v="7653.8"/>
  </r>
  <r>
    <x v="7"/>
    <x v="5"/>
    <s v="Retail"/>
    <s v="Dubai, UAE"/>
    <s v="Mid-Level"/>
    <n v="7"/>
    <s v="B.Com"/>
    <x v="12"/>
    <s v=" SQL"/>
    <s v=" Tableau"/>
    <n v="2023"/>
    <s v="VisionEdge"/>
    <s v="Turning Data into Strategy"/>
    <x v="2"/>
    <n v="8295"/>
    <n v="9"/>
    <n v="9041.5500000000011"/>
  </r>
  <r>
    <x v="0"/>
    <x v="3"/>
    <s v="Energy"/>
    <s v="Doha, Qatar"/>
    <s v="Senior"/>
    <n v="11"/>
    <s v="B.Sc"/>
    <x v="0"/>
    <s v=" Google Ads"/>
    <s v=" Content Marketing"/>
    <n v="2025"/>
    <s v="VisionEdge"/>
    <s v="Marketing that Converts"/>
    <x v="4"/>
    <n v="9929"/>
    <n v="12"/>
    <n v="11120.480000000001"/>
  </r>
  <r>
    <x v="8"/>
    <x v="1"/>
    <s v="Marketing"/>
    <s v="London, UK"/>
    <s v="Mid-Level"/>
    <n v="8"/>
    <s v="PhD"/>
    <x v="17"/>
    <s v=" HRIS"/>
    <m/>
    <n v="2013"/>
    <s v="FutureWare"/>
    <s v="Turning Data into Strategy"/>
    <x v="3"/>
    <n v="6586"/>
    <n v="12"/>
    <n v="7376.3200000000006"/>
  </r>
  <r>
    <x v="9"/>
    <x v="1"/>
    <s v="Finance"/>
    <s v="Berlin, Germany"/>
    <s v="Senior"/>
    <n v="11"/>
    <s v="MBA"/>
    <x v="15"/>
    <s v=" Excel"/>
    <s v=" Forecasting"/>
    <n v="2023"/>
    <s v="FutureWare"/>
    <s v="Focused on Data-Driven Decisions"/>
    <x v="3"/>
    <n v="9384"/>
    <n v="14"/>
    <n v="10697.760000000002"/>
  </r>
  <r>
    <x v="2"/>
    <x v="5"/>
    <s v="Manufacturing"/>
    <s v="Toronto, Canada"/>
    <s v="Senior"/>
    <n v="13"/>
    <s v="B.Com"/>
    <x v="2"/>
    <s v=" React"/>
    <s v=" Node.js"/>
    <n v="2016"/>
    <s v="NextGen Solutions"/>
    <s v="Building Scalable Tech Solutions"/>
    <x v="0"/>
    <n v="14718"/>
    <n v="9"/>
    <n v="16042.62"/>
  </r>
  <r>
    <x v="4"/>
    <x v="2"/>
    <s v="Consulting"/>
    <s v="New York, USA"/>
    <s v="Mid-Level"/>
    <n v="10"/>
    <s v="B.Tech"/>
    <x v="11"/>
    <s v=" Figma"/>
    <s v=" Adobe XD"/>
    <n v="2011"/>
    <s v="SmartWorks"/>
    <s v="Marketing that Converts"/>
    <x v="2"/>
    <n v="5497"/>
    <n v="5"/>
    <n v="5771.85"/>
  </r>
  <r>
    <x v="6"/>
    <x v="0"/>
    <s v="Finance"/>
    <s v="Dubai, UAE"/>
    <s v="Mid-Level"/>
    <n v="5"/>
    <s v="PhD"/>
    <x v="8"/>
    <s v=" Communication"/>
    <m/>
    <n v="2020"/>
    <s v="SmartWorks"/>
    <s v="Passionate about Data &amp; Insights"/>
    <x v="3"/>
    <n v="7158"/>
    <n v="9"/>
    <n v="7802.22"/>
  </r>
  <r>
    <x v="4"/>
    <x v="2"/>
    <s v="Technology"/>
    <s v="Toronto, Canada"/>
    <s v="Beginner"/>
    <n v="3"/>
    <s v="B.Sc"/>
    <x v="11"/>
    <s v=" Figma"/>
    <s v=" Adobe XD"/>
    <n v="2010"/>
    <s v="VisionEdge"/>
    <s v="Empowering Teams"/>
    <x v="4"/>
    <n v="5422"/>
    <n v="5"/>
    <n v="5693.1"/>
  </r>
  <r>
    <x v="1"/>
    <x v="5"/>
    <s v="Education"/>
    <s v="Toronto, Canada"/>
    <s v="Senior"/>
    <n v="13"/>
    <s v="BBA"/>
    <x v="1"/>
    <s v=" Data Visualization"/>
    <s v=" SQL"/>
    <n v="2023"/>
    <s v="GlobalCorp"/>
    <s v="Helping Organizations Transform Digitally"/>
    <x v="4"/>
    <n v="10880"/>
    <n v="25"/>
    <n v="13600"/>
  </r>
  <r>
    <x v="2"/>
    <x v="9"/>
    <s v="Technology"/>
    <s v="New York, USA"/>
    <s v="Beginner"/>
    <n v="4"/>
    <s v="MCA"/>
    <x v="12"/>
    <s v=" Java"/>
    <s v=" C++"/>
    <n v="2019"/>
    <s v="InnovaSoft"/>
    <s v="Empowering Teams"/>
    <x v="3"/>
    <n v="8407"/>
    <n v="11"/>
    <n v="9331.77"/>
  </r>
  <r>
    <x v="5"/>
    <x v="0"/>
    <s v="Manufacturing"/>
    <s v="Singapore"/>
    <s v="Mid-Level"/>
    <n v="6"/>
    <s v="B.Tech"/>
    <x v="5"/>
    <s v=" Planning"/>
    <m/>
    <n v="2023"/>
    <s v="GlobalCorp"/>
    <s v="Helping Organizations Transform Digitally"/>
    <x v="2"/>
    <n v="12653"/>
    <n v="9"/>
    <n v="13791.77"/>
  </r>
  <r>
    <x v="6"/>
    <x v="1"/>
    <s v="Healthcare"/>
    <s v="Berlin, Germany"/>
    <s v="Mid-Level"/>
    <n v="9"/>
    <s v="PhD"/>
    <x v="6"/>
    <s v=" Salesforce"/>
    <s v=" Lead Generation"/>
    <n v="2025"/>
    <s v="VisionEdge"/>
    <s v="Committed to Continuous Learning"/>
    <x v="1"/>
    <n v="6963"/>
    <n v="9"/>
    <n v="7589.670000000001"/>
  </r>
  <r>
    <x v="9"/>
    <x v="9"/>
    <s v="Marketing"/>
    <s v="Mumbai, India"/>
    <s v="Senior"/>
    <n v="15"/>
    <s v="B.Tech"/>
    <x v="15"/>
    <s v=" Excel"/>
    <s v=" Forecasting"/>
    <n v="2024"/>
    <s v="SmartWorks"/>
    <s v="Driving Business Growth"/>
    <x v="4"/>
    <n v="8731"/>
    <n v="11"/>
    <n v="9691.4100000000017"/>
  </r>
  <r>
    <x v="8"/>
    <x v="7"/>
    <s v="Marketing"/>
    <s v="Dubai, UAE"/>
    <s v="Senior"/>
    <n v="11"/>
    <s v="BBA"/>
    <x v="17"/>
    <s v=" HRIS"/>
    <m/>
    <n v="2021"/>
    <s v="NextGen Solutions"/>
    <s v="Driving Business Growth"/>
    <x v="1"/>
    <n v="5810"/>
    <n v="6"/>
    <n v="6158.6"/>
  </r>
  <r>
    <x v="9"/>
    <x v="7"/>
    <s v="Healthcare"/>
    <s v="Paris, France"/>
    <s v="Senior"/>
    <n v="15"/>
    <s v="PhD"/>
    <x v="15"/>
    <s v=" Excel"/>
    <s v=" Forecasting"/>
    <n v="2021"/>
    <s v="InnovaSoft"/>
    <s v="Building Scalable Tech Solutions"/>
    <x v="1"/>
    <n v="6857"/>
    <n v="6"/>
    <n v="7268.42"/>
  </r>
  <r>
    <x v="7"/>
    <x v="8"/>
    <s v="Healthcare"/>
    <s v="Mumbai, India"/>
    <s v="Beginner"/>
    <n v="1"/>
    <s v="B.Com"/>
    <x v="7"/>
    <s v=" SQL"/>
    <s v=" Power BI"/>
    <n v="2025"/>
    <s v="GlobalCorp"/>
    <s v="Committed to Continuous Learning"/>
    <x v="1"/>
    <n v="6800"/>
    <n v="5"/>
    <n v="7140"/>
  </r>
  <r>
    <x v="6"/>
    <x v="8"/>
    <s v="Education"/>
    <s v="Paris, France"/>
    <s v="Beginner"/>
    <n v="2"/>
    <s v="M.Tech"/>
    <x v="8"/>
    <s v=" Communication"/>
    <m/>
    <n v="2010"/>
    <s v="GlobalCorp"/>
    <s v="Driving Business Growth"/>
    <x v="4"/>
    <n v="4351"/>
    <n v="10"/>
    <n v="4786.1000000000004"/>
  </r>
  <r>
    <x v="8"/>
    <x v="9"/>
    <s v="Consulting"/>
    <s v="Sydney, Australia"/>
    <s v="Mid-Level"/>
    <n v="8"/>
    <s v="MCA"/>
    <x v="14"/>
    <s v=" HR Analytics"/>
    <s v=" Payroll"/>
    <n v="2016"/>
    <s v="BrightData"/>
    <s v="Building Scalable Tech Solutions"/>
    <x v="1"/>
    <n v="7587"/>
    <n v="9"/>
    <n v="8269.83"/>
  </r>
  <r>
    <x v="0"/>
    <x v="3"/>
    <s v="Marketing"/>
    <s v="Dubai, UAE"/>
    <s v="Mid-Level"/>
    <n v="9"/>
    <s v="M.Sc"/>
    <x v="0"/>
    <s v=" Google Ads"/>
    <s v=" Content Marketing"/>
    <n v="2015"/>
    <s v="CloudAxis"/>
    <s v="Building Scalable Tech Solutions"/>
    <x v="2"/>
    <n v="4808"/>
    <n v="8"/>
    <n v="5192.6400000000003"/>
  </r>
  <r>
    <x v="2"/>
    <x v="8"/>
    <s v="Healthcare"/>
    <s v="Mumbai, India"/>
    <s v="Mid-Level"/>
    <n v="7"/>
    <s v="M.Sc"/>
    <x v="2"/>
    <s v=" React"/>
    <s v=" Node.js"/>
    <n v="2022"/>
    <s v="BrightData"/>
    <s v="Driving Business Growth"/>
    <x v="0"/>
    <n v="13865"/>
    <n v="12"/>
    <n v="15528.800000000001"/>
  </r>
  <r>
    <x v="0"/>
    <x v="5"/>
    <s v="Consulting"/>
    <s v="Berlin, Germany"/>
    <s v="Senior"/>
    <n v="11"/>
    <s v="BBA"/>
    <x v="9"/>
    <m/>
    <m/>
    <n v="2017"/>
    <s v="BrightData"/>
    <s v="Innovating User Experiences"/>
    <x v="1"/>
    <n v="4747"/>
    <n v="10"/>
    <n v="5221.7000000000007"/>
  </r>
  <r>
    <x v="8"/>
    <x v="2"/>
    <s v="Technology"/>
    <s v="Berlin, Germany"/>
    <s v="Senior"/>
    <n v="17"/>
    <s v="M.Sc"/>
    <x v="14"/>
    <s v=" HR Analytics"/>
    <s v=" Payroll"/>
    <n v="2012"/>
    <s v="FutureWare"/>
    <s v="Helping Organizations Transform Digitally"/>
    <x v="0"/>
    <n v="6260"/>
    <n v="5"/>
    <n v="6573"/>
  </r>
  <r>
    <x v="3"/>
    <x v="4"/>
    <s v="Education"/>
    <s v="New York, USA"/>
    <s v="Beginner"/>
    <n v="1"/>
    <s v="B.Com"/>
    <x v="13"/>
    <s v=" Scrum"/>
    <s v=" Project Planning"/>
    <n v="2018"/>
    <s v="NextGen Solutions"/>
    <s v="Innovating User Experiences"/>
    <x v="2"/>
    <n v="11504"/>
    <n v="11"/>
    <n v="12769.44"/>
  </r>
  <r>
    <x v="0"/>
    <x v="2"/>
    <s v="Finance"/>
    <s v="London, UK"/>
    <s v="Beginner"/>
    <n v="1"/>
    <s v="M.Tech"/>
    <x v="0"/>
    <s v=" Google Ads"/>
    <s v=" Content Marketing"/>
    <n v="2016"/>
    <s v="VisionEdge"/>
    <s v="Committed to Continuous Learning"/>
    <x v="1"/>
    <n v="4244"/>
    <n v="11"/>
    <n v="4710.84"/>
  </r>
  <r>
    <x v="1"/>
    <x v="1"/>
    <s v="Manufacturing"/>
    <s v="Doha, Qatar"/>
    <s v="Senior"/>
    <n v="14"/>
    <s v="M.Tech"/>
    <x v="12"/>
    <s v=" Machine Learning"/>
    <s v=" AI"/>
    <n v="2010"/>
    <s v="BrightData"/>
    <s v="Focused on Data-Driven Decisions"/>
    <x v="4"/>
    <n v="13791"/>
    <n v="13"/>
    <n v="15583.829999999998"/>
  </r>
  <r>
    <x v="3"/>
    <x v="4"/>
    <s v="Energy"/>
    <s v="Paris, France"/>
    <s v="Mid-Level"/>
    <n v="9"/>
    <s v="B.Com"/>
    <x v="3"/>
    <m/>
    <m/>
    <n v="2021"/>
    <s v="Zenith Systems"/>
    <s v="Marketing that Converts"/>
    <x v="2"/>
    <n v="8324"/>
    <n v="8"/>
    <n v="8989.92"/>
  </r>
  <r>
    <x v="0"/>
    <x v="9"/>
    <s v="Technology"/>
    <s v="Toronto, Canada"/>
    <s v="Beginner"/>
    <n v="3"/>
    <s v="B.Sc"/>
    <x v="0"/>
    <s v=" Google Ads"/>
    <s v=" Content Marketing"/>
    <n v="2020"/>
    <s v="InnovaSoft"/>
    <s v="Innovating User Experiences"/>
    <x v="2"/>
    <n v="5358"/>
    <n v="5"/>
    <n v="5625.9000000000005"/>
  </r>
  <r>
    <x v="8"/>
    <x v="8"/>
    <s v="Technology"/>
    <s v="Doha, Qatar"/>
    <s v="Senior"/>
    <n v="19"/>
    <s v="M.Tech"/>
    <x v="17"/>
    <s v=" HRIS"/>
    <m/>
    <n v="2017"/>
    <s v="GlobalCorp"/>
    <s v="Focused on Data-Driven Decisions"/>
    <x v="1"/>
    <n v="8021"/>
    <n v="6"/>
    <n v="8502.26"/>
  </r>
  <r>
    <x v="7"/>
    <x v="8"/>
    <s v="Marketing"/>
    <s v="Paris, France"/>
    <s v="Senior"/>
    <n v="15"/>
    <s v="B.Com"/>
    <x v="7"/>
    <s v=" SQL"/>
    <s v=" Power BI"/>
    <n v="2018"/>
    <s v="BrightData"/>
    <s v="Driving Business Growth"/>
    <x v="3"/>
    <n v="9766"/>
    <n v="12"/>
    <n v="10937.920000000002"/>
  </r>
  <r>
    <x v="3"/>
    <x v="0"/>
    <s v="Consulting"/>
    <s v="Sydney, Australia"/>
    <s v="Senior"/>
    <n v="18"/>
    <s v="B.Com"/>
    <x v="3"/>
    <m/>
    <m/>
    <n v="2021"/>
    <s v="FutureWare"/>
    <s v="Passionate about Data &amp; Insights"/>
    <x v="2"/>
    <n v="15199"/>
    <n v="8"/>
    <n v="16414.920000000002"/>
  </r>
  <r>
    <x v="8"/>
    <x v="4"/>
    <s v="Marketing"/>
    <s v="Paris, France"/>
    <s v="Senior"/>
    <n v="20"/>
    <s v="B.Tech"/>
    <x v="14"/>
    <s v=" HR Analytics"/>
    <s v=" Payroll"/>
    <n v="2013"/>
    <s v="SmartWorks"/>
    <s v="Passionate about Data &amp; Insights"/>
    <x v="1"/>
    <n v="7873"/>
    <n v="7"/>
    <n v="8424.11"/>
  </r>
  <r>
    <x v="7"/>
    <x v="0"/>
    <s v="Finance"/>
    <s v="Mumbai, India"/>
    <s v="Senior"/>
    <n v="11"/>
    <s v="B.Com"/>
    <x v="12"/>
    <s v=" SQL"/>
    <s v=" Tableau"/>
    <n v="2012"/>
    <s v="CloudAxis"/>
    <s v="Driving Business Growth"/>
    <x v="1"/>
    <n v="5028"/>
    <n v="9"/>
    <n v="5480.52"/>
  </r>
  <r>
    <x v="8"/>
    <x v="7"/>
    <s v="Technology"/>
    <s v="Sydney, Australia"/>
    <s v="Beginner"/>
    <n v="1"/>
    <s v="PhD"/>
    <x v="17"/>
    <s v=" HRIS"/>
    <m/>
    <n v="2013"/>
    <s v="BrightData"/>
    <s v="Helping Organizations Transform Digitally"/>
    <x v="4"/>
    <n v="5351"/>
    <n v="5"/>
    <n v="5618.55"/>
  </r>
  <r>
    <x v="0"/>
    <x v="1"/>
    <s v="Retail"/>
    <s v="Singapore"/>
    <s v="Mid-Level"/>
    <n v="8"/>
    <s v="PhD"/>
    <x v="0"/>
    <s v=" Google Ads"/>
    <s v=" Content Marketing"/>
    <n v="2023"/>
    <s v="SmartWorks"/>
    <s v="Helping Organizations Transform Digitally"/>
    <x v="1"/>
    <n v="9896"/>
    <n v="11"/>
    <n v="10984.560000000001"/>
  </r>
  <r>
    <x v="2"/>
    <x v="8"/>
    <s v="Technology"/>
    <s v="Dubai, UAE"/>
    <s v="Senior"/>
    <n v="18"/>
    <s v="B.Com"/>
    <x v="12"/>
    <s v=" Java"/>
    <s v=" C++"/>
    <n v="2025"/>
    <s v="FutureWare"/>
    <s v="Committed to Continuous Learning"/>
    <x v="3"/>
    <n v="9140"/>
    <n v="14"/>
    <n v="10419.6"/>
  </r>
  <r>
    <x v="1"/>
    <x v="5"/>
    <s v="Education"/>
    <s v="Mumbai, India"/>
    <s v="Mid-Level"/>
    <n v="8"/>
    <s v="BBA"/>
    <x v="12"/>
    <s v=" Machine Learning"/>
    <s v=" AI"/>
    <n v="2017"/>
    <s v="TechNova"/>
    <s v="Committed to Continuous Learning"/>
    <x v="0"/>
    <n v="13790"/>
    <n v="18"/>
    <n v="16272.199999999999"/>
  </r>
  <r>
    <x v="2"/>
    <x v="1"/>
    <s v="Manufacturing"/>
    <s v="Toronto, Canada"/>
    <s v="Beginner"/>
    <n v="1"/>
    <s v="MCA"/>
    <x v="2"/>
    <s v=" React"/>
    <s v=" Node.js"/>
    <n v="2013"/>
    <s v="BrightData"/>
    <s v="Helping Organizations Transform Digitally"/>
    <x v="4"/>
    <n v="14285"/>
    <n v="8"/>
    <n v="15427.800000000001"/>
  </r>
  <r>
    <x v="4"/>
    <x v="7"/>
    <s v="Retail"/>
    <s v="Mumbai, India"/>
    <s v="Beginner"/>
    <n v="2"/>
    <s v="B.Com"/>
    <x v="4"/>
    <s v=" Wireframing"/>
    <m/>
    <n v="2011"/>
    <s v="NextGen Solutions"/>
    <s v="Focused on Data-Driven Decisions"/>
    <x v="1"/>
    <n v="11263"/>
    <n v="10"/>
    <n v="12389.300000000001"/>
  </r>
  <r>
    <x v="4"/>
    <x v="4"/>
    <s v="Healthcare"/>
    <s v="Toronto, Canada"/>
    <s v="Senior"/>
    <n v="12"/>
    <s v="BBA"/>
    <x v="4"/>
    <s v=" Wireframing"/>
    <m/>
    <n v="2014"/>
    <s v="Zenith Systems"/>
    <s v="Driving Business Growth"/>
    <x v="0"/>
    <n v="11911"/>
    <n v="10"/>
    <n v="13102.1"/>
  </r>
  <r>
    <x v="2"/>
    <x v="5"/>
    <s v="Education"/>
    <s v="Mumbai, India"/>
    <s v="Senior"/>
    <n v="16"/>
    <s v="MBA"/>
    <x v="12"/>
    <s v=" Java"/>
    <s v=" C++"/>
    <n v="2025"/>
    <s v="NextGen Solutions"/>
    <s v="Marketing that Converts"/>
    <x v="1"/>
    <n v="10141"/>
    <n v="18"/>
    <n v="11966.38"/>
  </r>
  <r>
    <x v="4"/>
    <x v="3"/>
    <s v="Education"/>
    <s v="London, UK"/>
    <s v="Mid-Level"/>
    <n v="9"/>
    <s v="B.Tech"/>
    <x v="4"/>
    <s v=" Wireframing"/>
    <m/>
    <n v="2010"/>
    <s v="GlobalCorp"/>
    <s v="Passionate about Data &amp; Insights"/>
    <x v="3"/>
    <n v="7740"/>
    <n v="6"/>
    <n v="8204.4"/>
  </r>
  <r>
    <x v="8"/>
    <x v="3"/>
    <s v="Healthcare"/>
    <s v="Sydney, Australia"/>
    <s v="Senior"/>
    <n v="18"/>
    <s v="B.Tech"/>
    <x v="14"/>
    <s v=" HR Analytics"/>
    <s v=" Payroll"/>
    <n v="2015"/>
    <s v="NextGen Solutions"/>
    <s v="Focused on Data-Driven Decisions"/>
    <x v="3"/>
    <n v="6746"/>
    <n v="12"/>
    <n v="7555.52"/>
  </r>
  <r>
    <x v="3"/>
    <x v="9"/>
    <s v="Retail"/>
    <s v="Dubai, UAE"/>
    <s v="Mid-Level"/>
    <n v="10"/>
    <s v="B.Sc"/>
    <x v="3"/>
    <m/>
    <m/>
    <n v="2023"/>
    <s v="Zenith Systems"/>
    <s v="Driving Business Growth"/>
    <x v="4"/>
    <n v="11269"/>
    <n v="11"/>
    <n v="12508.590000000002"/>
  </r>
  <r>
    <x v="7"/>
    <x v="7"/>
    <s v="Finance"/>
    <s v="Sydney, Australia"/>
    <s v="Senior"/>
    <n v="14"/>
    <s v="M.Sc"/>
    <x v="7"/>
    <s v=" SQL"/>
    <s v=" Power BI"/>
    <n v="2018"/>
    <s v="FutureWare"/>
    <s v="Focused on Data-Driven Decisions"/>
    <x v="2"/>
    <n v="5532"/>
    <n v="12"/>
    <n v="6195.84"/>
  </r>
  <r>
    <x v="8"/>
    <x v="7"/>
    <s v="Retail"/>
    <s v="Paris, France"/>
    <s v="Senior"/>
    <n v="17"/>
    <s v="M.Tech"/>
    <x v="14"/>
    <s v=" HR Analytics"/>
    <s v=" Payroll"/>
    <n v="2018"/>
    <s v="TechNova"/>
    <s v="Empowering Teams"/>
    <x v="1"/>
    <n v="7927"/>
    <n v="10"/>
    <n v="8719.7000000000007"/>
  </r>
  <r>
    <x v="5"/>
    <x v="5"/>
    <s v="Consulting"/>
    <s v="Toronto, Canada"/>
    <s v="Beginner"/>
    <n v="1"/>
    <s v="M.Tech"/>
    <x v="5"/>
    <s v=" Planning"/>
    <m/>
    <n v="2016"/>
    <s v="InnovaSoft"/>
    <s v="Turning Data into Strategy"/>
    <x v="3"/>
    <n v="7325"/>
    <n v="12"/>
    <n v="8204"/>
  </r>
  <r>
    <x v="9"/>
    <x v="8"/>
    <s v="Technology"/>
    <s v="Mumbai, India"/>
    <s v="Mid-Level"/>
    <n v="9"/>
    <s v="B.Tech"/>
    <x v="16"/>
    <m/>
    <m/>
    <n v="2022"/>
    <s v="CloudAxis"/>
    <s v="Helping Organizations Transform Digitally"/>
    <x v="4"/>
    <n v="9420"/>
    <n v="7"/>
    <n v="10079.400000000001"/>
  </r>
  <r>
    <x v="4"/>
    <x v="8"/>
    <s v="Marketing"/>
    <s v="Sydney, Australia"/>
    <s v="Mid-Level"/>
    <n v="9"/>
    <s v="MBA"/>
    <x v="4"/>
    <s v=" Wireframing"/>
    <m/>
    <n v="2018"/>
    <s v="TechNova"/>
    <s v="Marketing that Converts"/>
    <x v="2"/>
    <n v="9617"/>
    <n v="10"/>
    <n v="10578.7"/>
  </r>
  <r>
    <x v="1"/>
    <x v="5"/>
    <s v="Finance"/>
    <s v="London, UK"/>
    <s v="Senior"/>
    <n v="17"/>
    <s v="BBA"/>
    <x v="12"/>
    <s v=" Machine Learning"/>
    <s v=" AI"/>
    <n v="2019"/>
    <s v="VisionEdge"/>
    <s v="Building Scalable Tech Solutions"/>
    <x v="1"/>
    <n v="11562"/>
    <n v="15"/>
    <n v="13296.3"/>
  </r>
  <r>
    <x v="1"/>
    <x v="7"/>
    <s v="Manufacturing"/>
    <s v="Sydney, Australia"/>
    <s v="Senior"/>
    <n v="15"/>
    <s v="BBA"/>
    <x v="1"/>
    <s v=" Data Visualization"/>
    <s v=" SQL"/>
    <n v="2024"/>
    <s v="BrightData"/>
    <s v="Building Scalable Tech Solutions"/>
    <x v="4"/>
    <n v="15702"/>
    <n v="23"/>
    <n v="19313.46"/>
  </r>
  <r>
    <x v="2"/>
    <x v="1"/>
    <s v="Energy"/>
    <s v="Sydney, Australia"/>
    <s v="Mid-Level"/>
    <n v="6"/>
    <s v="M.Tech"/>
    <x v="12"/>
    <s v=" Java"/>
    <s v=" C++"/>
    <n v="2012"/>
    <s v="VisionEdge"/>
    <s v="Committed to Continuous Learning"/>
    <x v="3"/>
    <n v="14201"/>
    <n v="10"/>
    <n v="15621.1"/>
  </r>
  <r>
    <x v="5"/>
    <x v="7"/>
    <s v="Marketing"/>
    <s v="Paris, France"/>
    <s v="Mid-Level"/>
    <n v="7"/>
    <s v="MBA"/>
    <x v="10"/>
    <s v=" Management"/>
    <s v=" Operations"/>
    <n v="2015"/>
    <s v="FutureWare"/>
    <s v="Innovating User Experiences"/>
    <x v="2"/>
    <n v="7375"/>
    <n v="8"/>
    <n v="7965.0000000000009"/>
  </r>
  <r>
    <x v="0"/>
    <x v="2"/>
    <s v="Education"/>
    <s v="New York, USA"/>
    <s v="Senior"/>
    <n v="18"/>
    <s v="B.Com"/>
    <x v="0"/>
    <s v=" Google Ads"/>
    <s v=" Content Marketing"/>
    <n v="2021"/>
    <s v="FutureWare"/>
    <s v="Building Scalable Tech Solutions"/>
    <x v="0"/>
    <n v="6548"/>
    <n v="6"/>
    <n v="6940.88"/>
  </r>
  <r>
    <x v="8"/>
    <x v="5"/>
    <s v="Manufacturing"/>
    <s v="London, UK"/>
    <s v="Senior"/>
    <n v="19"/>
    <s v="B.Tech"/>
    <x v="14"/>
    <s v=" HR Analytics"/>
    <s v=" Payroll"/>
    <n v="2018"/>
    <s v="InnovaSoft"/>
    <s v="Empowering Teams"/>
    <x v="4"/>
    <n v="8244"/>
    <n v="8"/>
    <n v="8903.52"/>
  </r>
  <r>
    <x v="2"/>
    <x v="8"/>
    <s v="Education"/>
    <s v="Mumbai, India"/>
    <s v="Senior"/>
    <n v="19"/>
    <s v="MBA"/>
    <x v="2"/>
    <s v=" React"/>
    <s v=" Node.js"/>
    <n v="2019"/>
    <s v="CloudAxis"/>
    <s v="Passionate about Data &amp; Insights"/>
    <x v="1"/>
    <n v="9668"/>
    <n v="17"/>
    <n v="11311.56"/>
  </r>
  <r>
    <x v="6"/>
    <x v="5"/>
    <s v="Manufacturing"/>
    <s v="New York, USA"/>
    <s v="Mid-Level"/>
    <n v="8"/>
    <s v="M.Sc"/>
    <x v="6"/>
    <s v=" Salesforce"/>
    <s v=" Lead Generation"/>
    <n v="2021"/>
    <s v="NextGen Solutions"/>
    <s v="Committed to Continuous Learning"/>
    <x v="1"/>
    <n v="6018"/>
    <n v="7"/>
    <n v="6439.26"/>
  </r>
  <r>
    <x v="8"/>
    <x v="7"/>
    <s v="Retail"/>
    <s v="New York, USA"/>
    <s v="Beginner"/>
    <n v="4"/>
    <s v="B.Com"/>
    <x v="17"/>
    <s v=" HRIS"/>
    <m/>
    <n v="2014"/>
    <s v="TechNova"/>
    <s v="Innovating User Experiences"/>
    <x v="3"/>
    <n v="7961"/>
    <n v="11"/>
    <n v="8836.7100000000009"/>
  </r>
  <r>
    <x v="8"/>
    <x v="3"/>
    <s v="Technology"/>
    <s v="Singapore"/>
    <s v="Mid-Level"/>
    <n v="10"/>
    <s v="PhD"/>
    <x v="17"/>
    <s v=" HRIS"/>
    <m/>
    <n v="2015"/>
    <s v="SmartWorks"/>
    <s v="Marketing that Converts"/>
    <x v="0"/>
    <n v="9102"/>
    <n v="10"/>
    <n v="10012.200000000001"/>
  </r>
  <r>
    <x v="4"/>
    <x v="7"/>
    <s v="Retail"/>
    <s v="New York, USA"/>
    <s v="Mid-Level"/>
    <n v="5"/>
    <s v="BBA"/>
    <x v="4"/>
    <s v=" Wireframing"/>
    <m/>
    <n v="2015"/>
    <s v="VisionEdge"/>
    <s v="Focused on Data-Driven Decisions"/>
    <x v="2"/>
    <n v="10394"/>
    <n v="9"/>
    <n v="11329.460000000001"/>
  </r>
  <r>
    <x v="4"/>
    <x v="8"/>
    <s v="Marketing"/>
    <s v="Berlin, Germany"/>
    <s v="Senior"/>
    <n v="13"/>
    <s v="B.Tech"/>
    <x v="11"/>
    <s v=" Figma"/>
    <s v=" Adobe XD"/>
    <n v="2022"/>
    <s v="TechNova"/>
    <s v="Passionate about Data &amp; Insights"/>
    <x v="0"/>
    <n v="7449"/>
    <n v="11"/>
    <n v="8268.3900000000012"/>
  </r>
  <r>
    <x v="10"/>
    <x v="10"/>
    <m/>
    <m/>
    <m/>
    <m/>
    <m/>
    <x v="18"/>
    <m/>
    <m/>
    <m/>
    <m/>
    <m/>
    <x v="5"/>
    <m/>
    <m/>
    <m/>
  </r>
  <r>
    <x v="10"/>
    <x v="10"/>
    <m/>
    <m/>
    <m/>
    <m/>
    <m/>
    <x v="18"/>
    <m/>
    <m/>
    <m/>
    <m/>
    <m/>
    <x v="5"/>
    <m/>
    <m/>
    <m/>
  </r>
  <r>
    <x v="10"/>
    <x v="10"/>
    <m/>
    <m/>
    <m/>
    <m/>
    <m/>
    <x v="18"/>
    <m/>
    <m/>
    <m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71758-C1F3-43DE-93AB-F84782C3C0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O17" firstHeaderRow="1" firstDataRow="3" firstDataCol="1"/>
  <pivotFields count="17">
    <pivotField axis="axisRow" showAll="0">
      <items count="12">
        <item x="5"/>
        <item x="7"/>
        <item x="1"/>
        <item x="9"/>
        <item x="8"/>
        <item x="0"/>
        <item x="3"/>
        <item x="6"/>
        <item x="2"/>
        <item x="4"/>
        <item x="10"/>
        <item t="default"/>
      </items>
    </pivotField>
    <pivotField showAll="0">
      <items count="13">
        <item m="1" x="11"/>
        <item x="7"/>
        <item x="6"/>
        <item x="9"/>
        <item x="2"/>
        <item x="3"/>
        <item x="5"/>
        <item x="0"/>
        <item x="1"/>
        <item x="4"/>
        <item x="8"/>
        <item x="10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20">
        <item x="13"/>
        <item x="5"/>
        <item x="6"/>
        <item x="17"/>
        <item x="7"/>
        <item x="15"/>
        <item x="16"/>
        <item x="2"/>
        <item x="8"/>
        <item x="12"/>
        <item x="1"/>
        <item x="14"/>
        <item x="0"/>
        <item x="9"/>
        <item x="3"/>
        <item x="10"/>
        <item x="11"/>
        <item x="4"/>
        <item x="18"/>
        <item t="default"/>
      </items>
    </pivotField>
    <pivotField showAll="0"/>
    <pivotField showAll="0"/>
    <pivotField showAll="0"/>
    <pivotField showAll="0"/>
    <pivotField showAll="0"/>
    <pivotField dataField="1" showAll="0">
      <items count="7">
        <item x="4"/>
        <item x="3"/>
        <item x="0"/>
        <item x="1"/>
        <item x="2"/>
        <item x="5"/>
        <item t="default"/>
      </items>
    </pivotField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7"/>
    <field x="-2"/>
  </colFields>
  <colItems count="4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 t="grand">
      <x/>
    </i>
    <i t="grand" i="1">
      <x/>
    </i>
  </colItems>
  <dataFields count="2">
    <dataField name="Count of Skills" fld="7" subtotal="count" baseField="0" baseItem="0"/>
    <dataField name="Count of Certifications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72F2B-04DA-491D-B576-32D64EB3D34D}" name="Table1" displayName="Table1" ref="A1:R501" totalsRowShown="0" headerRowDxfId="6">
  <autoFilter ref="A1:R501" xr:uid="{B1372F2B-04DA-491D-B576-32D64EB3D34D}"/>
  <sortState xmlns:xlrd2="http://schemas.microsoft.com/office/spreadsheetml/2017/richdata2" ref="A2:R501">
    <sortCondition ref="I1:I501"/>
  </sortState>
  <tableColumns count="18">
    <tableColumn id="1" xr3:uid="{42402422-282B-458E-9EA5-2DABF0FC2D9D}" name="Job Title"/>
    <tableColumn id="2" xr3:uid="{4CD9DBF1-BE80-4F7E-B0CA-60D502B88D68}" name="Company"/>
    <tableColumn id="3" xr3:uid="{9B0520C1-DA86-4A3F-A5A5-096799E8421A}" name="Industry"/>
    <tableColumn id="4" xr3:uid="{0EBDA5CC-E2AE-4D88-84A7-F208D4937D9C}" name="Location"/>
    <tableColumn id="5" xr3:uid="{6F32EFC1-34FF-46D7-B969-808C13903441}" name="Levels">
      <calculatedColumnFormula>IF(F2&lt;5,"Beginner",IF(F2&lt;=10,"Mid-Level","Senior"))</calculatedColumnFormula>
    </tableColumn>
    <tableColumn id="6" xr3:uid="{D428DDEA-5533-451A-AE52-5D3C314FD90F}" name="Years of Experience" dataDxfId="5"/>
    <tableColumn id="7" xr3:uid="{3139107B-F585-4079-9011-8590C188FC04}" name="Education"/>
    <tableColumn id="8" xr3:uid="{84E8DB13-56D4-44F2-9563-D58FED9AE09A}" name="Skills (1)"/>
    <tableColumn id="9" xr3:uid="{50D0EE60-1A05-4FFC-9A3E-1D130DF74A32}" name="Skills (2)" dataDxfId="4"/>
    <tableColumn id="10" xr3:uid="{37936CF7-E67A-4EC9-A99C-823D873FBB25}" name="Skills (3)" dataDxfId="3"/>
    <tableColumn id="19" xr3:uid="{06A237C2-1EE1-42BD-91DF-706744D20308}" name="Skill count" dataDxfId="0"/>
    <tableColumn id="11" xr3:uid="{8C500343-3813-4C01-B68F-8F57C2ED618C}" name="Current Role Start Year" dataDxfId="2"/>
    <tableColumn id="12" xr3:uid="{CC59BDBC-22D3-48FF-8DEC-B903CABB7F6C}" name="Previous Company"/>
    <tableColumn id="13" xr3:uid="{20995341-AC98-478E-AA79-C9F55355C6C3}" name="Profile Headline"/>
    <tableColumn id="14" xr3:uid="{6B381832-6225-483E-805B-9DBD8A0E81BD}" name="Certifications"/>
    <tableColumn id="15" xr3:uid="{8C462D44-D913-4FB4-B405-BE3A932DC7E6}" name="Salary (USD)"/>
    <tableColumn id="16" xr3:uid="{3B93B050-19D5-474A-9B84-B3927E563AC8}" name="Hike (%)"/>
    <tableColumn id="17" xr3:uid="{A0452FCF-7A0F-4B33-A0DA-7432CC3E30C4}" name="Adjusted  salary" dataDxfId="1">
      <calculatedColumnFormula>(P2*(1+Q2/100))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283D-B086-40B3-9C14-2E0E7A90A4E0}">
  <dimension ref="A3:AO17"/>
  <sheetViews>
    <sheetView topLeftCell="A3" workbookViewId="0">
      <selection activeCell="A14" sqref="A14:AO14"/>
      <pivotSelection pane="bottomRight" showHeader="1" extendable="1" axis="axisRow" start="8" max="12" activeRow="13" previousRow="13" click="1" r:id="rId1">
        <pivotArea dataOnly="0" fieldPosition="0">
          <references count="1">
            <reference field="0" count="1">
              <x v="8"/>
            </reference>
          </references>
        </pivotArea>
      </pivotSelection>
    </sheetView>
  </sheetViews>
  <sheetFormatPr defaultRowHeight="14.4" x14ac:dyDescent="0.3"/>
  <cols>
    <col min="1" max="1" width="17.44140625" bestFit="1" customWidth="1"/>
    <col min="2" max="2" width="15.5546875" bestFit="1" customWidth="1"/>
    <col min="3" max="3" width="20" bestFit="1" customWidth="1"/>
    <col min="4" max="4" width="15.44140625" bestFit="1" customWidth="1"/>
    <col min="5" max="5" width="20" bestFit="1" customWidth="1"/>
    <col min="6" max="6" width="12.88671875" bestFit="1" customWidth="1"/>
    <col min="7" max="7" width="20" bestFit="1" customWidth="1"/>
    <col min="8" max="8" width="20.5546875" bestFit="1" customWidth="1"/>
    <col min="9" max="9" width="20" bestFit="1" customWidth="1"/>
    <col min="10" max="10" width="12.88671875" bestFit="1" customWidth="1"/>
    <col min="11" max="11" width="20" bestFit="1" customWidth="1"/>
    <col min="12" max="12" width="16.88671875" bestFit="1" customWidth="1"/>
    <col min="13" max="13" width="20" bestFit="1" customWidth="1"/>
    <col min="14" max="14" width="18" bestFit="1" customWidth="1"/>
    <col min="15" max="15" width="20" bestFit="1" customWidth="1"/>
    <col min="16" max="16" width="12.88671875" bestFit="1" customWidth="1"/>
    <col min="17" max="17" width="20" bestFit="1" customWidth="1"/>
    <col min="18" max="18" width="12.88671875" bestFit="1" customWidth="1"/>
    <col min="19" max="19" width="20" bestFit="1" customWidth="1"/>
    <col min="20" max="20" width="12.88671875" bestFit="1" customWidth="1"/>
    <col min="21" max="21" width="20" bestFit="1" customWidth="1"/>
    <col min="22" max="22" width="12.88671875" bestFit="1" customWidth="1"/>
    <col min="23" max="23" width="20" bestFit="1" customWidth="1"/>
    <col min="24" max="24" width="12.88671875" bestFit="1" customWidth="1"/>
    <col min="25" max="25" width="20" bestFit="1" customWidth="1"/>
    <col min="26" max="26" width="12.88671875" bestFit="1" customWidth="1"/>
    <col min="27" max="27" width="20" bestFit="1" customWidth="1"/>
    <col min="28" max="28" width="21" bestFit="1" customWidth="1"/>
    <col min="29" max="29" width="20" bestFit="1" customWidth="1"/>
    <col min="30" max="30" width="23.21875" bestFit="1" customWidth="1"/>
    <col min="31" max="31" width="20" bestFit="1" customWidth="1"/>
    <col min="32" max="32" width="12.88671875" bestFit="1" customWidth="1"/>
    <col min="33" max="33" width="20" bestFit="1" customWidth="1"/>
    <col min="34" max="34" width="12.88671875" bestFit="1" customWidth="1"/>
    <col min="35" max="35" width="20" bestFit="1" customWidth="1"/>
    <col min="36" max="36" width="12.88671875" bestFit="1" customWidth="1"/>
    <col min="37" max="37" width="20" bestFit="1" customWidth="1"/>
    <col min="38" max="38" width="12.88671875" bestFit="1" customWidth="1"/>
    <col min="39" max="39" width="20" bestFit="1" customWidth="1"/>
    <col min="40" max="40" width="17.77734375" bestFit="1" customWidth="1"/>
    <col min="41" max="41" width="24.77734375" bestFit="1" customWidth="1"/>
    <col min="42" max="42" width="18" bestFit="1" customWidth="1"/>
    <col min="43" max="43" width="9.44140625" bestFit="1" customWidth="1"/>
    <col min="44" max="44" width="10.88671875" bestFit="1" customWidth="1"/>
    <col min="45" max="45" width="7.109375" bestFit="1" customWidth="1"/>
    <col min="46" max="46" width="2.109375" bestFit="1" customWidth="1"/>
    <col min="47" max="47" width="11.33203125" bestFit="1" customWidth="1"/>
    <col min="48" max="48" width="4.33203125" bestFit="1" customWidth="1"/>
    <col min="49" max="49" width="21" bestFit="1" customWidth="1"/>
    <col min="50" max="50" width="23.21875" bestFit="1" customWidth="1"/>
    <col min="51" max="51" width="8" bestFit="1" customWidth="1"/>
    <col min="52" max="52" width="6.21875" bestFit="1" customWidth="1"/>
    <col min="53" max="53" width="12.77734375" bestFit="1" customWidth="1"/>
    <col min="54" max="54" width="15.6640625" bestFit="1" customWidth="1"/>
    <col min="55" max="55" width="12.33203125" bestFit="1" customWidth="1"/>
    <col min="56" max="56" width="15.44140625" bestFit="1" customWidth="1"/>
    <col min="57" max="57" width="5" bestFit="1" customWidth="1"/>
    <col min="58" max="58" width="20.5546875" bestFit="1" customWidth="1"/>
    <col min="59" max="59" width="16.88671875" bestFit="1" customWidth="1"/>
    <col min="60" max="60" width="18" bestFit="1" customWidth="1"/>
    <col min="61" max="61" width="9.44140625" bestFit="1" customWidth="1"/>
    <col min="62" max="62" width="10.88671875" bestFit="1" customWidth="1"/>
    <col min="63" max="63" width="7.109375" bestFit="1" customWidth="1"/>
    <col min="64" max="64" width="2.109375" bestFit="1" customWidth="1"/>
    <col min="65" max="65" width="11.33203125" bestFit="1" customWidth="1"/>
    <col min="66" max="66" width="4.33203125" bestFit="1" customWidth="1"/>
    <col min="67" max="67" width="21" bestFit="1" customWidth="1"/>
    <col min="68" max="68" width="23.21875" bestFit="1" customWidth="1"/>
    <col min="69" max="69" width="8" bestFit="1" customWidth="1"/>
    <col min="70" max="70" width="6.21875" bestFit="1" customWidth="1"/>
    <col min="71" max="71" width="12.77734375" bestFit="1" customWidth="1"/>
    <col min="72" max="72" width="15.109375" bestFit="1" customWidth="1"/>
    <col min="73" max="73" width="12.33203125" bestFit="1" customWidth="1"/>
    <col min="74" max="74" width="15.44140625" bestFit="1" customWidth="1"/>
    <col min="75" max="75" width="5" bestFit="1" customWidth="1"/>
    <col min="76" max="76" width="20.5546875" bestFit="1" customWidth="1"/>
    <col min="77" max="77" width="5.21875" bestFit="1" customWidth="1"/>
    <col min="78" max="78" width="16.88671875" bestFit="1" customWidth="1"/>
    <col min="79" max="79" width="18" bestFit="1" customWidth="1"/>
    <col min="80" max="80" width="9.44140625" bestFit="1" customWidth="1"/>
    <col min="81" max="81" width="7.109375" bestFit="1" customWidth="1"/>
    <col min="82" max="82" width="2.109375" bestFit="1" customWidth="1"/>
    <col min="83" max="83" width="11.33203125" bestFit="1" customWidth="1"/>
    <col min="84" max="84" width="4.33203125" bestFit="1" customWidth="1"/>
    <col min="85" max="85" width="21" bestFit="1" customWidth="1"/>
    <col min="86" max="86" width="23.21875" bestFit="1" customWidth="1"/>
    <col min="87" max="87" width="8" bestFit="1" customWidth="1"/>
    <col min="88" max="88" width="6.21875" bestFit="1" customWidth="1"/>
    <col min="89" max="89" width="12.77734375" bestFit="1" customWidth="1"/>
    <col min="90" max="90" width="15.109375" bestFit="1" customWidth="1"/>
    <col min="91" max="91" width="18.5546875" bestFit="1" customWidth="1"/>
    <col min="92" max="92" width="15.44140625" bestFit="1" customWidth="1"/>
    <col min="93" max="93" width="5" bestFit="1" customWidth="1"/>
    <col min="94" max="94" width="20.5546875" bestFit="1" customWidth="1"/>
    <col min="95" max="95" width="5.21875" bestFit="1" customWidth="1"/>
    <col min="96" max="96" width="16.88671875" bestFit="1" customWidth="1"/>
    <col min="97" max="97" width="18" bestFit="1" customWidth="1"/>
    <col min="98" max="98" width="9.44140625" bestFit="1" customWidth="1"/>
    <col min="99" max="99" width="10.88671875" bestFit="1" customWidth="1"/>
    <col min="100" max="100" width="7.109375" bestFit="1" customWidth="1"/>
    <col min="101" max="101" width="2.109375" bestFit="1" customWidth="1"/>
    <col min="102" max="102" width="11.33203125" bestFit="1" customWidth="1"/>
    <col min="103" max="103" width="4.33203125" bestFit="1" customWidth="1"/>
    <col min="104" max="104" width="21" bestFit="1" customWidth="1"/>
    <col min="105" max="105" width="23.21875" bestFit="1" customWidth="1"/>
    <col min="106" max="106" width="8" bestFit="1" customWidth="1"/>
    <col min="107" max="107" width="6.21875" bestFit="1" customWidth="1"/>
    <col min="108" max="108" width="12.77734375" bestFit="1" customWidth="1"/>
    <col min="109" max="109" width="21.44140625" bestFit="1" customWidth="1"/>
    <col min="110" max="110" width="13.33203125" bestFit="1" customWidth="1"/>
    <col min="111" max="111" width="15.44140625" bestFit="1" customWidth="1"/>
    <col min="112" max="112" width="5" bestFit="1" customWidth="1"/>
    <col min="113" max="113" width="20.5546875" bestFit="1" customWidth="1"/>
    <col min="114" max="114" width="5.21875" bestFit="1" customWidth="1"/>
    <col min="115" max="115" width="16.88671875" bestFit="1" customWidth="1"/>
    <col min="116" max="116" width="18" bestFit="1" customWidth="1"/>
    <col min="117" max="117" width="9.44140625" bestFit="1" customWidth="1"/>
    <col min="118" max="118" width="10.88671875" bestFit="1" customWidth="1"/>
    <col min="119" max="119" width="7.109375" bestFit="1" customWidth="1"/>
    <col min="120" max="120" width="2.109375" bestFit="1" customWidth="1"/>
    <col min="121" max="121" width="11.33203125" bestFit="1" customWidth="1"/>
    <col min="122" max="122" width="4.33203125" bestFit="1" customWidth="1"/>
    <col min="123" max="123" width="21" bestFit="1" customWidth="1"/>
    <col min="124" max="124" width="23.21875" bestFit="1" customWidth="1"/>
    <col min="125" max="125" width="8" bestFit="1" customWidth="1"/>
    <col min="126" max="126" width="6.21875" bestFit="1" customWidth="1"/>
    <col min="127" max="127" width="12.77734375" bestFit="1" customWidth="1"/>
    <col min="128" max="128" width="16.109375" bestFit="1" customWidth="1"/>
    <col min="129" max="129" width="11.44140625" bestFit="1" customWidth="1"/>
    <col min="130" max="130" width="15.44140625" bestFit="1" customWidth="1"/>
    <col min="131" max="131" width="5" bestFit="1" customWidth="1"/>
    <col min="132" max="132" width="20.5546875" bestFit="1" customWidth="1"/>
    <col min="133" max="133" width="5.21875" bestFit="1" customWidth="1"/>
    <col min="134" max="134" width="16.88671875" bestFit="1" customWidth="1"/>
    <col min="135" max="135" width="18" bestFit="1" customWidth="1"/>
    <col min="136" max="136" width="9.44140625" bestFit="1" customWidth="1"/>
    <col min="137" max="137" width="7.109375" bestFit="1" customWidth="1"/>
    <col min="138" max="138" width="2.109375" bestFit="1" customWidth="1"/>
    <col min="139" max="139" width="11.33203125" bestFit="1" customWidth="1"/>
    <col min="140" max="140" width="4.33203125" bestFit="1" customWidth="1"/>
    <col min="141" max="141" width="21" bestFit="1" customWidth="1"/>
    <col min="142" max="142" width="8" bestFit="1" customWidth="1"/>
    <col min="143" max="143" width="6.21875" bestFit="1" customWidth="1"/>
    <col min="144" max="144" width="14.21875" bestFit="1" customWidth="1"/>
    <col min="145" max="145" width="12.21875" bestFit="1" customWidth="1"/>
    <col min="146" max="146" width="15.44140625" bestFit="1" customWidth="1"/>
    <col min="147" max="147" width="5" bestFit="1" customWidth="1"/>
    <col min="148" max="148" width="20.5546875" bestFit="1" customWidth="1"/>
    <col min="149" max="149" width="16.88671875" bestFit="1" customWidth="1"/>
    <col min="150" max="150" width="18" bestFit="1" customWidth="1"/>
    <col min="151" max="151" width="9.44140625" bestFit="1" customWidth="1"/>
    <col min="152" max="152" width="10.88671875" bestFit="1" customWidth="1"/>
    <col min="153" max="153" width="7.109375" bestFit="1" customWidth="1"/>
    <col min="154" max="154" width="2.109375" bestFit="1" customWidth="1"/>
    <col min="155" max="155" width="11.33203125" bestFit="1" customWidth="1"/>
    <col min="156" max="156" width="4.33203125" bestFit="1" customWidth="1"/>
    <col min="157" max="157" width="21" bestFit="1" customWidth="1"/>
    <col min="158" max="158" width="23.21875" bestFit="1" customWidth="1"/>
    <col min="159" max="159" width="6.21875" bestFit="1" customWidth="1"/>
    <col min="160" max="160" width="12.77734375" bestFit="1" customWidth="1"/>
    <col min="161" max="161" width="15" bestFit="1" customWidth="1"/>
    <col min="162" max="162" width="15.77734375" bestFit="1" customWidth="1"/>
    <col min="163" max="163" width="15.44140625" bestFit="1" customWidth="1"/>
    <col min="164" max="164" width="5" bestFit="1" customWidth="1"/>
    <col min="165" max="165" width="20.5546875" bestFit="1" customWidth="1"/>
    <col min="166" max="166" width="5.21875" bestFit="1" customWidth="1"/>
    <col min="167" max="167" width="16.88671875" bestFit="1" customWidth="1"/>
    <col min="168" max="168" width="18" bestFit="1" customWidth="1"/>
    <col min="169" max="169" width="9.44140625" bestFit="1" customWidth="1"/>
    <col min="170" max="170" width="10.88671875" bestFit="1" customWidth="1"/>
    <col min="171" max="171" width="7.109375" bestFit="1" customWidth="1"/>
    <col min="172" max="172" width="2.109375" bestFit="1" customWidth="1"/>
    <col min="173" max="173" width="11.33203125" bestFit="1" customWidth="1"/>
    <col min="174" max="174" width="4.33203125" bestFit="1" customWidth="1"/>
    <col min="175" max="175" width="21" bestFit="1" customWidth="1"/>
    <col min="176" max="176" width="23.21875" bestFit="1" customWidth="1"/>
    <col min="177" max="177" width="8" bestFit="1" customWidth="1"/>
    <col min="178" max="178" width="6.21875" bestFit="1" customWidth="1"/>
    <col min="179" max="179" width="12.77734375" bestFit="1" customWidth="1"/>
    <col min="180" max="180" width="18.5546875" bestFit="1" customWidth="1"/>
    <col min="181" max="181" width="9" bestFit="1" customWidth="1"/>
    <col min="182" max="182" width="11.6640625" bestFit="1" customWidth="1"/>
    <col min="183" max="183" width="10.77734375" bestFit="1" customWidth="1"/>
    <col min="184" max="184" width="12.88671875" bestFit="1" customWidth="1"/>
    <col min="185" max="185" width="20" bestFit="1" customWidth="1"/>
    <col min="186" max="186" width="20.5546875" bestFit="1" customWidth="1"/>
    <col min="187" max="187" width="20" bestFit="1" customWidth="1"/>
    <col min="188" max="188" width="12.88671875" bestFit="1" customWidth="1"/>
    <col min="189" max="189" width="20" bestFit="1" customWidth="1"/>
    <col min="190" max="190" width="16.88671875" bestFit="1" customWidth="1"/>
    <col min="191" max="191" width="20" bestFit="1" customWidth="1"/>
    <col min="192" max="192" width="18" bestFit="1" customWidth="1"/>
    <col min="193" max="193" width="20" bestFit="1" customWidth="1"/>
    <col min="194" max="194" width="12.88671875" bestFit="1" customWidth="1"/>
    <col min="195" max="195" width="20" bestFit="1" customWidth="1"/>
    <col min="196" max="196" width="12.88671875" bestFit="1" customWidth="1"/>
    <col min="197" max="197" width="20" bestFit="1" customWidth="1"/>
    <col min="198" max="198" width="12.88671875" bestFit="1" customWidth="1"/>
    <col min="199" max="199" width="20" bestFit="1" customWidth="1"/>
    <col min="200" max="200" width="12.88671875" bestFit="1" customWidth="1"/>
    <col min="201" max="201" width="20" bestFit="1" customWidth="1"/>
    <col min="202" max="202" width="12.88671875" bestFit="1" customWidth="1"/>
    <col min="203" max="203" width="20" bestFit="1" customWidth="1"/>
    <col min="204" max="204" width="12.88671875" bestFit="1" customWidth="1"/>
    <col min="205" max="205" width="20" bestFit="1" customWidth="1"/>
    <col min="206" max="206" width="21" bestFit="1" customWidth="1"/>
    <col min="207" max="207" width="20" bestFit="1" customWidth="1"/>
    <col min="208" max="208" width="23.21875" bestFit="1" customWidth="1"/>
    <col min="209" max="209" width="20" bestFit="1" customWidth="1"/>
    <col min="210" max="210" width="12.88671875" bestFit="1" customWidth="1"/>
    <col min="211" max="211" width="20" bestFit="1" customWidth="1"/>
    <col min="212" max="212" width="12.88671875" bestFit="1" customWidth="1"/>
    <col min="213" max="213" width="20" bestFit="1" customWidth="1"/>
    <col min="214" max="214" width="12.88671875" bestFit="1" customWidth="1"/>
    <col min="215" max="215" width="20" bestFit="1" customWidth="1"/>
    <col min="216" max="216" width="29.21875" bestFit="1" customWidth="1"/>
    <col min="217" max="217" width="36.33203125" bestFit="1" customWidth="1"/>
    <col min="218" max="218" width="13.33203125" bestFit="1" customWidth="1"/>
    <col min="219" max="219" width="20" bestFit="1" customWidth="1"/>
    <col min="220" max="220" width="15.44140625" bestFit="1" customWidth="1"/>
    <col min="221" max="221" width="20" bestFit="1" customWidth="1"/>
    <col min="222" max="222" width="12.88671875" bestFit="1" customWidth="1"/>
    <col min="223" max="223" width="20" bestFit="1" customWidth="1"/>
    <col min="224" max="224" width="20.5546875" bestFit="1" customWidth="1"/>
    <col min="225" max="225" width="20" bestFit="1" customWidth="1"/>
    <col min="226" max="226" width="12.88671875" bestFit="1" customWidth="1"/>
    <col min="227" max="227" width="20" bestFit="1" customWidth="1"/>
    <col min="228" max="228" width="16.88671875" bestFit="1" customWidth="1"/>
    <col min="229" max="229" width="20" bestFit="1" customWidth="1"/>
    <col min="230" max="230" width="18" bestFit="1" customWidth="1"/>
    <col min="231" max="231" width="20" bestFit="1" customWidth="1"/>
    <col min="232" max="232" width="12.88671875" bestFit="1" customWidth="1"/>
    <col min="233" max="233" width="20" bestFit="1" customWidth="1"/>
    <col min="234" max="234" width="12.88671875" bestFit="1" customWidth="1"/>
    <col min="235" max="235" width="20" bestFit="1" customWidth="1"/>
    <col min="236" max="236" width="12.88671875" bestFit="1" customWidth="1"/>
    <col min="237" max="237" width="20" bestFit="1" customWidth="1"/>
    <col min="238" max="238" width="12.88671875" bestFit="1" customWidth="1"/>
    <col min="239" max="239" width="20" bestFit="1" customWidth="1"/>
    <col min="240" max="240" width="12.88671875" bestFit="1" customWidth="1"/>
    <col min="241" max="241" width="20" bestFit="1" customWidth="1"/>
    <col min="242" max="242" width="12.88671875" bestFit="1" customWidth="1"/>
    <col min="243" max="243" width="20" bestFit="1" customWidth="1"/>
    <col min="244" max="244" width="21" bestFit="1" customWidth="1"/>
    <col min="245" max="245" width="20" bestFit="1" customWidth="1"/>
    <col min="246" max="246" width="23.21875" bestFit="1" customWidth="1"/>
    <col min="247" max="247" width="20" bestFit="1" customWidth="1"/>
    <col min="248" max="248" width="12.88671875" bestFit="1" customWidth="1"/>
    <col min="249" max="249" width="20" bestFit="1" customWidth="1"/>
    <col min="250" max="250" width="12.88671875" bestFit="1" customWidth="1"/>
    <col min="251" max="251" width="20" bestFit="1" customWidth="1"/>
    <col min="252" max="252" width="12.88671875" bestFit="1" customWidth="1"/>
    <col min="253" max="253" width="20" bestFit="1" customWidth="1"/>
    <col min="254" max="254" width="24" bestFit="1" customWidth="1"/>
    <col min="255" max="255" width="31.109375" bestFit="1" customWidth="1"/>
    <col min="256" max="256" width="12.88671875" bestFit="1" customWidth="1"/>
    <col min="257" max="257" width="20" bestFit="1" customWidth="1"/>
    <col min="258" max="258" width="15.44140625" bestFit="1" customWidth="1"/>
    <col min="259" max="259" width="20" bestFit="1" customWidth="1"/>
    <col min="260" max="260" width="12.88671875" bestFit="1" customWidth="1"/>
    <col min="261" max="261" width="20" bestFit="1" customWidth="1"/>
    <col min="262" max="262" width="20.5546875" bestFit="1" customWidth="1"/>
    <col min="263" max="263" width="20" bestFit="1" customWidth="1"/>
    <col min="264" max="264" width="12.88671875" bestFit="1" customWidth="1"/>
    <col min="265" max="265" width="20" bestFit="1" customWidth="1"/>
    <col min="266" max="266" width="16.88671875" bestFit="1" customWidth="1"/>
    <col min="267" max="267" width="20" bestFit="1" customWidth="1"/>
    <col min="268" max="268" width="18" bestFit="1" customWidth="1"/>
    <col min="269" max="269" width="20" bestFit="1" customWidth="1"/>
    <col min="270" max="270" width="12.88671875" bestFit="1" customWidth="1"/>
    <col min="271" max="271" width="20" bestFit="1" customWidth="1"/>
    <col min="272" max="272" width="12.88671875" bestFit="1" customWidth="1"/>
    <col min="273" max="273" width="20" bestFit="1" customWidth="1"/>
    <col min="274" max="274" width="12.88671875" bestFit="1" customWidth="1"/>
    <col min="275" max="275" width="20" bestFit="1" customWidth="1"/>
    <col min="276" max="276" width="12.88671875" bestFit="1" customWidth="1"/>
    <col min="277" max="277" width="20" bestFit="1" customWidth="1"/>
    <col min="278" max="278" width="12.88671875" bestFit="1" customWidth="1"/>
    <col min="279" max="279" width="20" bestFit="1" customWidth="1"/>
    <col min="280" max="280" width="21" bestFit="1" customWidth="1"/>
    <col min="281" max="281" width="20" bestFit="1" customWidth="1"/>
    <col min="282" max="282" width="12.88671875" bestFit="1" customWidth="1"/>
    <col min="283" max="283" width="20" bestFit="1" customWidth="1"/>
    <col min="284" max="284" width="12.88671875" bestFit="1" customWidth="1"/>
    <col min="285" max="285" width="20" bestFit="1" customWidth="1"/>
    <col min="286" max="286" width="22.109375" bestFit="1" customWidth="1"/>
    <col min="287" max="287" width="29.109375" bestFit="1" customWidth="1"/>
    <col min="288" max="288" width="12.88671875" bestFit="1" customWidth="1"/>
    <col min="289" max="289" width="20" bestFit="1" customWidth="1"/>
    <col min="290" max="290" width="15.44140625" bestFit="1" customWidth="1"/>
    <col min="291" max="291" width="20" bestFit="1" customWidth="1"/>
    <col min="292" max="292" width="12.88671875" bestFit="1" customWidth="1"/>
    <col min="293" max="293" width="20" bestFit="1" customWidth="1"/>
    <col min="294" max="294" width="20.5546875" bestFit="1" customWidth="1"/>
    <col min="295" max="295" width="20" bestFit="1" customWidth="1"/>
    <col min="296" max="296" width="16.88671875" bestFit="1" customWidth="1"/>
    <col min="297" max="297" width="20" bestFit="1" customWidth="1"/>
    <col min="298" max="298" width="18" bestFit="1" customWidth="1"/>
    <col min="299" max="299" width="20" bestFit="1" customWidth="1"/>
    <col min="300" max="300" width="12.88671875" bestFit="1" customWidth="1"/>
    <col min="301" max="301" width="20" bestFit="1" customWidth="1"/>
    <col min="302" max="302" width="12.88671875" bestFit="1" customWidth="1"/>
    <col min="303" max="303" width="20" bestFit="1" customWidth="1"/>
    <col min="304" max="304" width="12.88671875" bestFit="1" customWidth="1"/>
    <col min="305" max="305" width="20" bestFit="1" customWidth="1"/>
    <col min="306" max="306" width="12.88671875" bestFit="1" customWidth="1"/>
    <col min="307" max="307" width="20" bestFit="1" customWidth="1"/>
    <col min="308" max="308" width="12.88671875" bestFit="1" customWidth="1"/>
    <col min="309" max="309" width="20" bestFit="1" customWidth="1"/>
    <col min="310" max="310" width="12.88671875" bestFit="1" customWidth="1"/>
    <col min="311" max="311" width="20" bestFit="1" customWidth="1"/>
    <col min="312" max="312" width="21" bestFit="1" customWidth="1"/>
    <col min="313" max="313" width="20" bestFit="1" customWidth="1"/>
    <col min="314" max="314" width="23.21875" bestFit="1" customWidth="1"/>
    <col min="315" max="315" width="20" bestFit="1" customWidth="1"/>
    <col min="316" max="316" width="12.88671875" bestFit="1" customWidth="1"/>
    <col min="317" max="317" width="20" bestFit="1" customWidth="1"/>
    <col min="318" max="318" width="12.88671875" bestFit="1" customWidth="1"/>
    <col min="319" max="319" width="20" bestFit="1" customWidth="1"/>
    <col min="320" max="320" width="22.88671875" bestFit="1" customWidth="1"/>
    <col min="321" max="321" width="30" bestFit="1" customWidth="1"/>
    <col min="322" max="322" width="15.77734375" bestFit="1" customWidth="1"/>
    <col min="323" max="323" width="20" bestFit="1" customWidth="1"/>
    <col min="324" max="324" width="15.44140625" bestFit="1" customWidth="1"/>
    <col min="325" max="325" width="20" bestFit="1" customWidth="1"/>
    <col min="326" max="326" width="12.88671875" bestFit="1" customWidth="1"/>
    <col min="327" max="327" width="20" bestFit="1" customWidth="1"/>
    <col min="328" max="328" width="20.5546875" bestFit="1" customWidth="1"/>
    <col min="329" max="329" width="20" bestFit="1" customWidth="1"/>
    <col min="330" max="330" width="12.88671875" bestFit="1" customWidth="1"/>
    <col min="331" max="331" width="20" bestFit="1" customWidth="1"/>
    <col min="332" max="332" width="16.88671875" bestFit="1" customWidth="1"/>
    <col min="333" max="333" width="20" bestFit="1" customWidth="1"/>
    <col min="334" max="334" width="18" bestFit="1" customWidth="1"/>
    <col min="335" max="335" width="20" bestFit="1" customWidth="1"/>
    <col min="336" max="336" width="12.88671875" bestFit="1" customWidth="1"/>
    <col min="337" max="337" width="20" bestFit="1" customWidth="1"/>
    <col min="338" max="338" width="12.88671875" bestFit="1" customWidth="1"/>
    <col min="339" max="339" width="20" bestFit="1" customWidth="1"/>
    <col min="340" max="340" width="12.88671875" bestFit="1" customWidth="1"/>
    <col min="341" max="341" width="20" bestFit="1" customWidth="1"/>
    <col min="342" max="342" width="12.88671875" bestFit="1" customWidth="1"/>
    <col min="343" max="343" width="20" bestFit="1" customWidth="1"/>
    <col min="344" max="344" width="12.88671875" bestFit="1" customWidth="1"/>
    <col min="345" max="345" width="20" bestFit="1" customWidth="1"/>
    <col min="346" max="346" width="12.88671875" bestFit="1" customWidth="1"/>
    <col min="347" max="347" width="20" bestFit="1" customWidth="1"/>
    <col min="348" max="348" width="21" bestFit="1" customWidth="1"/>
    <col min="349" max="349" width="20" bestFit="1" customWidth="1"/>
    <col min="350" max="350" width="23.21875" bestFit="1" customWidth="1"/>
    <col min="351" max="351" width="20" bestFit="1" customWidth="1"/>
    <col min="352" max="352" width="12.88671875" bestFit="1" customWidth="1"/>
    <col min="353" max="353" width="20" bestFit="1" customWidth="1"/>
    <col min="354" max="354" width="12.88671875" bestFit="1" customWidth="1"/>
    <col min="355" max="355" width="20" bestFit="1" customWidth="1"/>
    <col min="356" max="356" width="12.88671875" bestFit="1" customWidth="1"/>
    <col min="357" max="357" width="20" bestFit="1" customWidth="1"/>
    <col min="358" max="358" width="26.44140625" bestFit="1" customWidth="1"/>
    <col min="359" max="359" width="33.44140625" bestFit="1" customWidth="1"/>
    <col min="360" max="360" width="12.88671875" bestFit="1" customWidth="1"/>
    <col min="361" max="361" width="20" bestFit="1" customWidth="1"/>
    <col min="362" max="362" width="19.5546875" bestFit="1" customWidth="1"/>
    <col min="363" max="363" width="26.6640625" bestFit="1" customWidth="1"/>
    <col min="364" max="364" width="17.77734375" bestFit="1" customWidth="1"/>
    <col min="365" max="365" width="24.77734375" bestFit="1" customWidth="1"/>
  </cols>
  <sheetData>
    <row r="3" spans="1:41" x14ac:dyDescent="0.3">
      <c r="B3" s="6" t="s">
        <v>126</v>
      </c>
    </row>
    <row r="4" spans="1:41" x14ac:dyDescent="0.3">
      <c r="B4" t="s">
        <v>109</v>
      </c>
      <c r="D4" t="s">
        <v>91</v>
      </c>
      <c r="F4" t="s">
        <v>93</v>
      </c>
      <c r="H4" t="s">
        <v>121</v>
      </c>
      <c r="J4" t="s">
        <v>96</v>
      </c>
      <c r="L4" t="s">
        <v>117</v>
      </c>
      <c r="N4" t="s">
        <v>62</v>
      </c>
      <c r="P4" t="s">
        <v>86</v>
      </c>
      <c r="R4" t="s">
        <v>98</v>
      </c>
      <c r="T4" t="s">
        <v>106</v>
      </c>
      <c r="V4" t="s">
        <v>83</v>
      </c>
      <c r="X4" t="s">
        <v>112</v>
      </c>
      <c r="Z4" t="s">
        <v>80</v>
      </c>
      <c r="AB4" t="s">
        <v>61</v>
      </c>
      <c r="AD4" t="s">
        <v>60</v>
      </c>
      <c r="AF4" t="s">
        <v>100</v>
      </c>
      <c r="AH4" t="s">
        <v>103</v>
      </c>
      <c r="AJ4" t="s">
        <v>89</v>
      </c>
      <c r="AL4" t="s">
        <v>124</v>
      </c>
      <c r="AN4" t="s">
        <v>128</v>
      </c>
      <c r="AO4" t="s">
        <v>129</v>
      </c>
    </row>
    <row r="5" spans="1:41" x14ac:dyDescent="0.3">
      <c r="A5" s="6" t="s">
        <v>123</v>
      </c>
      <c r="B5" t="s">
        <v>127</v>
      </c>
      <c r="C5" t="s">
        <v>130</v>
      </c>
      <c r="D5" t="s">
        <v>127</v>
      </c>
      <c r="E5" t="s">
        <v>130</v>
      </c>
      <c r="F5" t="s">
        <v>127</v>
      </c>
      <c r="G5" t="s">
        <v>130</v>
      </c>
      <c r="H5" t="s">
        <v>127</v>
      </c>
      <c r="I5" t="s">
        <v>130</v>
      </c>
      <c r="J5" t="s">
        <v>127</v>
      </c>
      <c r="K5" t="s">
        <v>130</v>
      </c>
      <c r="L5" t="s">
        <v>127</v>
      </c>
      <c r="M5" t="s">
        <v>130</v>
      </c>
      <c r="N5" t="s">
        <v>127</v>
      </c>
      <c r="O5" t="s">
        <v>130</v>
      </c>
      <c r="P5" t="s">
        <v>127</v>
      </c>
      <c r="Q5" t="s">
        <v>130</v>
      </c>
      <c r="R5" t="s">
        <v>127</v>
      </c>
      <c r="S5" t="s">
        <v>130</v>
      </c>
      <c r="T5" t="s">
        <v>127</v>
      </c>
      <c r="U5" t="s">
        <v>130</v>
      </c>
      <c r="V5" t="s">
        <v>127</v>
      </c>
      <c r="W5" t="s">
        <v>130</v>
      </c>
      <c r="X5" t="s">
        <v>127</v>
      </c>
      <c r="Y5" t="s">
        <v>130</v>
      </c>
      <c r="Z5" t="s">
        <v>127</v>
      </c>
      <c r="AA5" t="s">
        <v>130</v>
      </c>
      <c r="AB5" t="s">
        <v>127</v>
      </c>
      <c r="AC5" t="s">
        <v>130</v>
      </c>
      <c r="AD5" t="s">
        <v>127</v>
      </c>
      <c r="AE5" t="s">
        <v>130</v>
      </c>
      <c r="AF5" t="s">
        <v>127</v>
      </c>
      <c r="AG5" t="s">
        <v>130</v>
      </c>
      <c r="AH5" t="s">
        <v>127</v>
      </c>
      <c r="AI5" t="s">
        <v>130</v>
      </c>
      <c r="AJ5" t="s">
        <v>127</v>
      </c>
      <c r="AK5" t="s">
        <v>130</v>
      </c>
      <c r="AL5" t="s">
        <v>127</v>
      </c>
      <c r="AM5" t="s">
        <v>130</v>
      </c>
    </row>
    <row r="6" spans="1:41" x14ac:dyDescent="0.3">
      <c r="A6" s="7" t="s">
        <v>17</v>
      </c>
      <c r="D6">
        <v>22</v>
      </c>
      <c r="E6">
        <v>22</v>
      </c>
      <c r="AF6">
        <v>22</v>
      </c>
      <c r="AG6">
        <v>22</v>
      </c>
      <c r="AN6">
        <v>44</v>
      </c>
      <c r="AO6">
        <v>44</v>
      </c>
    </row>
    <row r="7" spans="1:41" x14ac:dyDescent="0.3">
      <c r="A7" s="7" t="s">
        <v>19</v>
      </c>
      <c r="J7">
        <v>25</v>
      </c>
      <c r="K7">
        <v>25</v>
      </c>
      <c r="T7">
        <v>18</v>
      </c>
      <c r="U7">
        <v>18</v>
      </c>
      <c r="AN7">
        <v>43</v>
      </c>
      <c r="AO7">
        <v>43</v>
      </c>
    </row>
    <row r="8" spans="1:41" x14ac:dyDescent="0.3">
      <c r="A8" s="7" t="s">
        <v>13</v>
      </c>
      <c r="T8">
        <v>14</v>
      </c>
      <c r="U8">
        <v>14</v>
      </c>
      <c r="V8">
        <v>24</v>
      </c>
      <c r="W8">
        <v>24</v>
      </c>
      <c r="AN8">
        <v>38</v>
      </c>
      <c r="AO8">
        <v>38</v>
      </c>
    </row>
    <row r="9" spans="1:41" x14ac:dyDescent="0.3">
      <c r="A9" s="7" t="s">
        <v>21</v>
      </c>
      <c r="L9">
        <v>27</v>
      </c>
      <c r="M9">
        <v>27</v>
      </c>
      <c r="N9">
        <v>20</v>
      </c>
      <c r="O9">
        <v>20</v>
      </c>
      <c r="AN9">
        <v>47</v>
      </c>
      <c r="AO9">
        <v>47</v>
      </c>
    </row>
    <row r="10" spans="1:41" x14ac:dyDescent="0.3">
      <c r="A10" s="7" t="s">
        <v>20</v>
      </c>
      <c r="H10">
        <v>33</v>
      </c>
      <c r="I10">
        <v>33</v>
      </c>
      <c r="X10">
        <v>21</v>
      </c>
      <c r="Y10">
        <v>21</v>
      </c>
      <c r="AN10">
        <v>54</v>
      </c>
      <c r="AO10">
        <v>54</v>
      </c>
    </row>
    <row r="11" spans="1:41" x14ac:dyDescent="0.3">
      <c r="A11" s="7" t="s">
        <v>12</v>
      </c>
      <c r="Z11">
        <v>34</v>
      </c>
      <c r="AA11">
        <v>34</v>
      </c>
      <c r="AB11">
        <v>25</v>
      </c>
      <c r="AC11">
        <v>25</v>
      </c>
      <c r="AN11">
        <v>59</v>
      </c>
      <c r="AO11">
        <v>59</v>
      </c>
    </row>
    <row r="12" spans="1:41" x14ac:dyDescent="0.3">
      <c r="A12" s="7" t="s">
        <v>15</v>
      </c>
      <c r="B12">
        <v>28</v>
      </c>
      <c r="C12">
        <v>28</v>
      </c>
      <c r="AD12">
        <v>29</v>
      </c>
      <c r="AE12">
        <v>29</v>
      </c>
      <c r="AN12">
        <v>57</v>
      </c>
      <c r="AO12">
        <v>57</v>
      </c>
    </row>
    <row r="13" spans="1:41" x14ac:dyDescent="0.3">
      <c r="A13" s="7" t="s">
        <v>18</v>
      </c>
      <c r="F13">
        <v>20</v>
      </c>
      <c r="G13">
        <v>20</v>
      </c>
      <c r="R13">
        <v>19</v>
      </c>
      <c r="S13">
        <v>19</v>
      </c>
      <c r="AN13">
        <v>39</v>
      </c>
      <c r="AO13">
        <v>39</v>
      </c>
    </row>
    <row r="14" spans="1:41" x14ac:dyDescent="0.3">
      <c r="A14" s="7" t="s">
        <v>14</v>
      </c>
      <c r="P14">
        <v>37</v>
      </c>
      <c r="Q14">
        <v>37</v>
      </c>
      <c r="T14">
        <v>26</v>
      </c>
      <c r="U14">
        <v>26</v>
      </c>
      <c r="AN14">
        <v>63</v>
      </c>
      <c r="AO14">
        <v>63</v>
      </c>
    </row>
    <row r="15" spans="1:41" x14ac:dyDescent="0.3">
      <c r="A15" s="7" t="s">
        <v>16</v>
      </c>
      <c r="AH15">
        <v>24</v>
      </c>
      <c r="AI15">
        <v>24</v>
      </c>
      <c r="AJ15">
        <v>32</v>
      </c>
      <c r="AK15">
        <v>32</v>
      </c>
      <c r="AN15">
        <v>56</v>
      </c>
      <c r="AO15">
        <v>56</v>
      </c>
    </row>
    <row r="16" spans="1:41" x14ac:dyDescent="0.3">
      <c r="A16" s="7" t="s">
        <v>124</v>
      </c>
    </row>
    <row r="17" spans="1:41" x14ac:dyDescent="0.3">
      <c r="A17" s="7" t="s">
        <v>125</v>
      </c>
      <c r="B17">
        <v>28</v>
      </c>
      <c r="C17">
        <v>28</v>
      </c>
      <c r="D17">
        <v>22</v>
      </c>
      <c r="E17">
        <v>22</v>
      </c>
      <c r="F17">
        <v>20</v>
      </c>
      <c r="G17">
        <v>20</v>
      </c>
      <c r="H17">
        <v>33</v>
      </c>
      <c r="I17">
        <v>33</v>
      </c>
      <c r="J17">
        <v>25</v>
      </c>
      <c r="K17">
        <v>25</v>
      </c>
      <c r="L17">
        <v>27</v>
      </c>
      <c r="M17">
        <v>27</v>
      </c>
      <c r="N17">
        <v>20</v>
      </c>
      <c r="O17">
        <v>20</v>
      </c>
      <c r="P17">
        <v>37</v>
      </c>
      <c r="Q17">
        <v>37</v>
      </c>
      <c r="R17">
        <v>19</v>
      </c>
      <c r="S17">
        <v>19</v>
      </c>
      <c r="T17">
        <v>58</v>
      </c>
      <c r="U17">
        <v>58</v>
      </c>
      <c r="V17">
        <v>24</v>
      </c>
      <c r="W17">
        <v>24</v>
      </c>
      <c r="X17">
        <v>21</v>
      </c>
      <c r="Y17">
        <v>21</v>
      </c>
      <c r="Z17">
        <v>34</v>
      </c>
      <c r="AA17">
        <v>34</v>
      </c>
      <c r="AB17">
        <v>25</v>
      </c>
      <c r="AC17">
        <v>25</v>
      </c>
      <c r="AD17">
        <v>29</v>
      </c>
      <c r="AE17">
        <v>29</v>
      </c>
      <c r="AF17">
        <v>22</v>
      </c>
      <c r="AG17">
        <v>22</v>
      </c>
      <c r="AH17">
        <v>24</v>
      </c>
      <c r="AI17">
        <v>24</v>
      </c>
      <c r="AJ17">
        <v>32</v>
      </c>
      <c r="AK17">
        <v>32</v>
      </c>
      <c r="AN17">
        <v>500</v>
      </c>
      <c r="AO1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topLeftCell="A392" zoomScale="82" zoomScaleNormal="82" workbookViewId="0">
      <selection activeCell="K396" sqref="K396:K501"/>
    </sheetView>
  </sheetViews>
  <sheetFormatPr defaultRowHeight="14.4" x14ac:dyDescent="0.3"/>
  <cols>
    <col min="1" max="1" width="18.5546875" bestFit="1" customWidth="1"/>
    <col min="2" max="2" width="16.109375" bestFit="1" customWidth="1"/>
    <col min="3" max="3" width="12.88671875" bestFit="1" customWidth="1"/>
    <col min="4" max="4" width="14.77734375" bestFit="1" customWidth="1"/>
    <col min="5" max="5" width="14.77734375" customWidth="1"/>
    <col min="6" max="6" width="19.88671875" style="2" customWidth="1"/>
    <col min="7" max="7" width="11.5546875" customWidth="1"/>
    <col min="8" max="8" width="32" bestFit="1" customWidth="1"/>
    <col min="9" max="9" width="32" style="2" customWidth="1"/>
    <col min="10" max="11" width="19.21875" style="2" customWidth="1"/>
    <col min="12" max="12" width="22.5546875" style="2" customWidth="1"/>
    <col min="13" max="13" width="18.88671875" customWidth="1"/>
    <col min="14" max="14" width="35" bestFit="1" customWidth="1"/>
    <col min="15" max="15" width="15.44140625" bestFit="1" customWidth="1"/>
    <col min="16" max="16" width="13.44140625" customWidth="1"/>
    <col min="17" max="17" width="10.109375" customWidth="1"/>
    <col min="18" max="18" width="16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78</v>
      </c>
      <c r="F1" s="1" t="s">
        <v>4</v>
      </c>
      <c r="G1" s="1" t="s">
        <v>5</v>
      </c>
      <c r="H1" s="1" t="s">
        <v>133</v>
      </c>
      <c r="I1" s="3" t="s">
        <v>131</v>
      </c>
      <c r="J1" s="3" t="s">
        <v>132</v>
      </c>
      <c r="K1" s="3" t="s">
        <v>135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5" t="s">
        <v>79</v>
      </c>
    </row>
    <row r="2" spans="1:18" x14ac:dyDescent="0.3">
      <c r="A2" t="s">
        <v>18</v>
      </c>
      <c r="B2" t="s">
        <v>29</v>
      </c>
      <c r="C2" t="s">
        <v>36</v>
      </c>
      <c r="D2" t="s">
        <v>48</v>
      </c>
      <c r="E2" t="str">
        <f>IF(F2&lt;5,"Beginner",IF(F2&lt;=10,"Mid-Level","Senior"))</f>
        <v>Beginner</v>
      </c>
      <c r="F2" s="2">
        <v>1</v>
      </c>
      <c r="G2" t="s">
        <v>52</v>
      </c>
      <c r="H2" t="s">
        <v>98</v>
      </c>
      <c r="I2" s="2" t="s">
        <v>99</v>
      </c>
      <c r="J2" s="2" t="s">
        <v>134</v>
      </c>
      <c r="K2" s="2">
        <v>2</v>
      </c>
      <c r="L2" s="2">
        <v>2017</v>
      </c>
      <c r="M2" t="s">
        <v>27</v>
      </c>
      <c r="N2" t="s">
        <v>67</v>
      </c>
      <c r="O2" t="s">
        <v>73</v>
      </c>
      <c r="P2">
        <v>5362</v>
      </c>
      <c r="Q2">
        <v>6</v>
      </c>
      <c r="R2" s="4">
        <f>(P2*(1+Q2/100))</f>
        <v>5683.72</v>
      </c>
    </row>
    <row r="3" spans="1:18" x14ac:dyDescent="0.3">
      <c r="A3" t="s">
        <v>18</v>
      </c>
      <c r="B3" t="s">
        <v>22</v>
      </c>
      <c r="C3" t="s">
        <v>32</v>
      </c>
      <c r="D3" t="s">
        <v>48</v>
      </c>
      <c r="E3" t="str">
        <f>IF(F3&lt;5,"Beginner",IF(F3&lt;=10,"Mid-Level","Senior"))</f>
        <v>Senior</v>
      </c>
      <c r="F3" s="2">
        <v>16</v>
      </c>
      <c r="G3" t="s">
        <v>57</v>
      </c>
      <c r="H3" t="s">
        <v>98</v>
      </c>
      <c r="I3" s="2" t="s">
        <v>99</v>
      </c>
      <c r="J3" s="2" t="s">
        <v>134</v>
      </c>
      <c r="K3" s="2">
        <v>2</v>
      </c>
      <c r="L3" s="2">
        <v>2022</v>
      </c>
      <c r="M3" t="s">
        <v>28</v>
      </c>
      <c r="N3" t="s">
        <v>71</v>
      </c>
      <c r="O3" t="s">
        <v>75</v>
      </c>
      <c r="P3">
        <v>5916</v>
      </c>
      <c r="Q3">
        <v>7</v>
      </c>
      <c r="R3" s="4">
        <f>(P3*(1+Q3/100))</f>
        <v>6330.1200000000008</v>
      </c>
    </row>
    <row r="4" spans="1:18" x14ac:dyDescent="0.3">
      <c r="A4" t="s">
        <v>18</v>
      </c>
      <c r="B4" t="s">
        <v>29</v>
      </c>
      <c r="C4" t="s">
        <v>32</v>
      </c>
      <c r="D4" t="s">
        <v>48</v>
      </c>
      <c r="E4" t="str">
        <f>IF(F4&lt;5,"Beginner",IF(F4&lt;=10,"Mid-Level","Senior"))</f>
        <v>Senior</v>
      </c>
      <c r="F4" s="2">
        <v>13</v>
      </c>
      <c r="G4" t="s">
        <v>53</v>
      </c>
      <c r="H4" t="s">
        <v>98</v>
      </c>
      <c r="I4" s="2" t="s">
        <v>99</v>
      </c>
      <c r="J4" s="2" t="s">
        <v>134</v>
      </c>
      <c r="K4" s="2">
        <v>2</v>
      </c>
      <c r="L4" s="2">
        <v>2023</v>
      </c>
      <c r="M4" t="s">
        <v>22</v>
      </c>
      <c r="N4" t="s">
        <v>69</v>
      </c>
      <c r="O4" t="s">
        <v>75</v>
      </c>
      <c r="P4">
        <v>3025</v>
      </c>
      <c r="Q4">
        <v>7</v>
      </c>
      <c r="R4" s="4">
        <f>(P4*(1+Q4/100))</f>
        <v>3236.75</v>
      </c>
    </row>
    <row r="5" spans="1:18" x14ac:dyDescent="0.3">
      <c r="A5" t="s">
        <v>18</v>
      </c>
      <c r="B5" t="s">
        <v>24</v>
      </c>
      <c r="C5" t="s">
        <v>39</v>
      </c>
      <c r="D5" t="s">
        <v>50</v>
      </c>
      <c r="E5" t="str">
        <f>IF(F5&lt;5,"Beginner",IF(F5&lt;=10,"Mid-Level","Senior"))</f>
        <v>Mid-Level</v>
      </c>
      <c r="F5" s="2">
        <v>5</v>
      </c>
      <c r="G5" t="s">
        <v>54</v>
      </c>
      <c r="H5" t="s">
        <v>98</v>
      </c>
      <c r="I5" s="2" t="s">
        <v>99</v>
      </c>
      <c r="J5" s="2" t="s">
        <v>134</v>
      </c>
      <c r="K5" s="2">
        <v>2</v>
      </c>
      <c r="L5" s="2">
        <v>2020</v>
      </c>
      <c r="M5" t="s">
        <v>29</v>
      </c>
      <c r="N5" t="s">
        <v>70</v>
      </c>
      <c r="O5" t="s">
        <v>73</v>
      </c>
      <c r="P5">
        <v>6621</v>
      </c>
      <c r="Q5">
        <v>4</v>
      </c>
      <c r="R5" s="4">
        <f>(P5*(1+Q5/100))</f>
        <v>6885.84</v>
      </c>
    </row>
    <row r="6" spans="1:18" x14ac:dyDescent="0.3">
      <c r="A6" t="s">
        <v>18</v>
      </c>
      <c r="B6" t="s">
        <v>22</v>
      </c>
      <c r="C6" t="s">
        <v>40</v>
      </c>
      <c r="D6" t="s">
        <v>46</v>
      </c>
      <c r="E6" t="str">
        <f>IF(F6&lt;5,"Beginner",IF(F6&lt;=10,"Mid-Level","Senior"))</f>
        <v>Mid-Level</v>
      </c>
      <c r="F6" s="2">
        <v>8</v>
      </c>
      <c r="G6" t="s">
        <v>54</v>
      </c>
      <c r="H6" t="s">
        <v>98</v>
      </c>
      <c r="I6" s="2" t="s">
        <v>99</v>
      </c>
      <c r="J6" s="2" t="s">
        <v>134</v>
      </c>
      <c r="K6" s="2">
        <v>2</v>
      </c>
      <c r="L6" s="2">
        <v>2013</v>
      </c>
      <c r="M6" t="s">
        <v>22</v>
      </c>
      <c r="N6" t="s">
        <v>68</v>
      </c>
      <c r="O6" t="s">
        <v>75</v>
      </c>
      <c r="P6">
        <v>8007</v>
      </c>
      <c r="Q6">
        <v>5</v>
      </c>
      <c r="R6" s="4">
        <f>(P6*(1+Q6/100))</f>
        <v>8407.35</v>
      </c>
    </row>
    <row r="7" spans="1:18" x14ac:dyDescent="0.3">
      <c r="A7" t="s">
        <v>18</v>
      </c>
      <c r="B7" t="s">
        <v>26</v>
      </c>
      <c r="C7" t="s">
        <v>5</v>
      </c>
      <c r="D7" t="s">
        <v>47</v>
      </c>
      <c r="E7" t="str">
        <f>IF(F7&lt;5,"Beginner",IF(F7&lt;=10,"Mid-Level","Senior"))</f>
        <v>Mid-Level</v>
      </c>
      <c r="F7" s="2">
        <v>8</v>
      </c>
      <c r="G7" t="s">
        <v>56</v>
      </c>
      <c r="H7" t="s">
        <v>98</v>
      </c>
      <c r="I7" s="2" t="s">
        <v>99</v>
      </c>
      <c r="J7" s="2" t="s">
        <v>134</v>
      </c>
      <c r="K7" s="2">
        <v>2</v>
      </c>
      <c r="L7" s="2">
        <v>2021</v>
      </c>
      <c r="M7" t="s">
        <v>28</v>
      </c>
      <c r="N7" t="s">
        <v>64</v>
      </c>
      <c r="O7" t="s">
        <v>77</v>
      </c>
      <c r="P7">
        <v>4890</v>
      </c>
      <c r="Q7">
        <v>9</v>
      </c>
      <c r="R7" s="4">
        <f>(P7*(1+Q7/100))</f>
        <v>5330.1</v>
      </c>
    </row>
    <row r="8" spans="1:18" x14ac:dyDescent="0.3">
      <c r="A8" t="s">
        <v>18</v>
      </c>
      <c r="B8" t="s">
        <v>24</v>
      </c>
      <c r="C8" t="s">
        <v>39</v>
      </c>
      <c r="D8" t="s">
        <v>50</v>
      </c>
      <c r="E8" t="str">
        <f>IF(F8&lt;5,"Beginner",IF(F8&lt;=10,"Mid-Level","Senior"))</f>
        <v>Beginner</v>
      </c>
      <c r="F8" s="2">
        <v>1</v>
      </c>
      <c r="G8" t="s">
        <v>57</v>
      </c>
      <c r="H8" t="s">
        <v>98</v>
      </c>
      <c r="I8" s="2" t="s">
        <v>99</v>
      </c>
      <c r="J8" s="2" t="s">
        <v>134</v>
      </c>
      <c r="K8" s="2">
        <v>2</v>
      </c>
      <c r="L8" s="2">
        <v>2015</v>
      </c>
      <c r="M8" t="s">
        <v>31</v>
      </c>
      <c r="N8" t="s">
        <v>67</v>
      </c>
      <c r="O8" t="s">
        <v>77</v>
      </c>
      <c r="P8">
        <v>8518</v>
      </c>
      <c r="Q8">
        <v>8</v>
      </c>
      <c r="R8" s="4">
        <f>(P8*(1+Q8/100))</f>
        <v>9199.44</v>
      </c>
    </row>
    <row r="9" spans="1:18" x14ac:dyDescent="0.3">
      <c r="A9" t="s">
        <v>18</v>
      </c>
      <c r="B9" t="s">
        <v>29</v>
      </c>
      <c r="C9" t="s">
        <v>36</v>
      </c>
      <c r="D9" t="s">
        <v>47</v>
      </c>
      <c r="E9" t="str">
        <f>IF(F9&lt;5,"Beginner",IF(F9&lt;=10,"Mid-Level","Senior"))</f>
        <v>Beginner</v>
      </c>
      <c r="F9" s="2">
        <v>3</v>
      </c>
      <c r="G9" t="s">
        <v>54</v>
      </c>
      <c r="H9" t="s">
        <v>98</v>
      </c>
      <c r="I9" s="2" t="s">
        <v>99</v>
      </c>
      <c r="J9" s="2" t="s">
        <v>134</v>
      </c>
      <c r="K9" s="2">
        <v>2</v>
      </c>
      <c r="L9" s="2">
        <v>2019</v>
      </c>
      <c r="M9" t="s">
        <v>26</v>
      </c>
      <c r="N9" t="s">
        <v>64</v>
      </c>
      <c r="O9" t="s">
        <v>73</v>
      </c>
      <c r="P9">
        <v>7818</v>
      </c>
      <c r="Q9">
        <v>6</v>
      </c>
      <c r="R9" s="4">
        <f>(P9*(1+Q9/100))</f>
        <v>8287.08</v>
      </c>
    </row>
    <row r="10" spans="1:18" x14ac:dyDescent="0.3">
      <c r="A10" t="s">
        <v>18</v>
      </c>
      <c r="B10" t="s">
        <v>29</v>
      </c>
      <c r="C10" t="s">
        <v>39</v>
      </c>
      <c r="D10" t="s">
        <v>45</v>
      </c>
      <c r="E10" t="str">
        <f>IF(F10&lt;5,"Beginner",IF(F10&lt;=10,"Mid-Level","Senior"))</f>
        <v>Mid-Level</v>
      </c>
      <c r="F10" s="2">
        <v>9</v>
      </c>
      <c r="G10" t="s">
        <v>52</v>
      </c>
      <c r="H10" t="s">
        <v>98</v>
      </c>
      <c r="I10" s="2" t="s">
        <v>99</v>
      </c>
      <c r="J10" s="2" t="s">
        <v>134</v>
      </c>
      <c r="K10" s="2">
        <v>2</v>
      </c>
      <c r="L10" s="2">
        <v>2019</v>
      </c>
      <c r="M10" t="s">
        <v>22</v>
      </c>
      <c r="N10" t="s">
        <v>72</v>
      </c>
      <c r="O10" t="s">
        <v>77</v>
      </c>
      <c r="P10">
        <v>5321</v>
      </c>
      <c r="Q10">
        <v>4</v>
      </c>
      <c r="R10" s="4">
        <f>(P10*(1+Q10/100))</f>
        <v>5533.84</v>
      </c>
    </row>
    <row r="11" spans="1:18" x14ac:dyDescent="0.3">
      <c r="A11" t="s">
        <v>18</v>
      </c>
      <c r="B11" t="s">
        <v>22</v>
      </c>
      <c r="C11" t="s">
        <v>35</v>
      </c>
      <c r="D11" t="s">
        <v>50</v>
      </c>
      <c r="E11" t="str">
        <f>IF(F11&lt;5,"Beginner",IF(F11&lt;=10,"Mid-Level","Senior"))</f>
        <v>Senior</v>
      </c>
      <c r="F11" s="2">
        <v>13</v>
      </c>
      <c r="G11" t="s">
        <v>56</v>
      </c>
      <c r="H11" t="s">
        <v>98</v>
      </c>
      <c r="I11" s="2" t="s">
        <v>99</v>
      </c>
      <c r="J11" s="2" t="s">
        <v>134</v>
      </c>
      <c r="K11" s="2">
        <v>2</v>
      </c>
      <c r="L11" s="2">
        <v>2023</v>
      </c>
      <c r="M11" t="s">
        <v>25</v>
      </c>
      <c r="N11" t="s">
        <v>66</v>
      </c>
      <c r="O11" t="s">
        <v>75</v>
      </c>
      <c r="P11">
        <v>6355</v>
      </c>
      <c r="Q11">
        <v>4</v>
      </c>
      <c r="R11" s="4">
        <f>(P11*(1+Q11/100))</f>
        <v>6609.2</v>
      </c>
    </row>
    <row r="12" spans="1:18" x14ac:dyDescent="0.3">
      <c r="A12" t="s">
        <v>18</v>
      </c>
      <c r="B12" t="s">
        <v>29</v>
      </c>
      <c r="C12" t="s">
        <v>39</v>
      </c>
      <c r="D12" t="s">
        <v>50</v>
      </c>
      <c r="E12" t="str">
        <f>IF(F12&lt;5,"Beginner",IF(F12&lt;=10,"Mid-Level","Senior"))</f>
        <v>Senior</v>
      </c>
      <c r="F12" s="2">
        <v>13</v>
      </c>
      <c r="G12" t="s">
        <v>52</v>
      </c>
      <c r="H12" t="s">
        <v>98</v>
      </c>
      <c r="I12" s="2" t="s">
        <v>99</v>
      </c>
      <c r="J12" s="2" t="s">
        <v>134</v>
      </c>
      <c r="K12" s="2">
        <v>2</v>
      </c>
      <c r="L12" s="2">
        <v>2011</v>
      </c>
      <c r="M12" t="s">
        <v>26</v>
      </c>
      <c r="N12" t="s">
        <v>68</v>
      </c>
      <c r="O12" t="s">
        <v>76</v>
      </c>
      <c r="P12">
        <v>6123</v>
      </c>
      <c r="Q12">
        <v>10</v>
      </c>
      <c r="R12" s="4">
        <f>(P12*(1+Q12/100))</f>
        <v>6735.3</v>
      </c>
    </row>
    <row r="13" spans="1:18" x14ac:dyDescent="0.3">
      <c r="A13" t="s">
        <v>18</v>
      </c>
      <c r="B13" t="s">
        <v>28</v>
      </c>
      <c r="C13" t="s">
        <v>37</v>
      </c>
      <c r="D13" t="s">
        <v>43</v>
      </c>
      <c r="E13" t="str">
        <f>IF(F13&lt;5,"Beginner",IF(F13&lt;=10,"Mid-Level","Senior"))</f>
        <v>Senior</v>
      </c>
      <c r="F13" s="2">
        <v>19</v>
      </c>
      <c r="G13" t="s">
        <v>55</v>
      </c>
      <c r="H13" t="s">
        <v>98</v>
      </c>
      <c r="I13" s="2" t="s">
        <v>99</v>
      </c>
      <c r="J13" s="2" t="s">
        <v>134</v>
      </c>
      <c r="K13" s="2">
        <v>2</v>
      </c>
      <c r="L13" s="2">
        <v>2011</v>
      </c>
      <c r="M13" t="s">
        <v>27</v>
      </c>
      <c r="N13" t="s">
        <v>63</v>
      </c>
      <c r="O13" t="s">
        <v>73</v>
      </c>
      <c r="P13">
        <v>6859</v>
      </c>
      <c r="Q13">
        <v>9</v>
      </c>
      <c r="R13" s="4">
        <f>(P13*(1+Q13/100))</f>
        <v>7476.31</v>
      </c>
    </row>
    <row r="14" spans="1:18" x14ac:dyDescent="0.3">
      <c r="A14" t="s">
        <v>18</v>
      </c>
      <c r="B14" t="s">
        <v>31</v>
      </c>
      <c r="C14" t="s">
        <v>39</v>
      </c>
      <c r="D14" t="s">
        <v>42</v>
      </c>
      <c r="E14" t="str">
        <f>IF(F14&lt;5,"Beginner",IF(F14&lt;=10,"Mid-Level","Senior"))</f>
        <v>Senior</v>
      </c>
      <c r="F14" s="2">
        <v>15</v>
      </c>
      <c r="G14" t="s">
        <v>54</v>
      </c>
      <c r="H14" t="s">
        <v>98</v>
      </c>
      <c r="I14" s="2" t="s">
        <v>99</v>
      </c>
      <c r="J14" s="2" t="s">
        <v>134</v>
      </c>
      <c r="K14" s="2">
        <v>2</v>
      </c>
      <c r="L14" s="2">
        <v>2015</v>
      </c>
      <c r="M14" t="s">
        <v>29</v>
      </c>
      <c r="N14" t="s">
        <v>70</v>
      </c>
      <c r="O14" t="s">
        <v>76</v>
      </c>
      <c r="P14">
        <v>6990</v>
      </c>
      <c r="Q14">
        <v>5</v>
      </c>
      <c r="R14" s="4">
        <f>(P14*(1+Q14/100))</f>
        <v>7339.5</v>
      </c>
    </row>
    <row r="15" spans="1:18" x14ac:dyDescent="0.3">
      <c r="A15" t="s">
        <v>18</v>
      </c>
      <c r="B15" t="s">
        <v>26</v>
      </c>
      <c r="C15" t="s">
        <v>39</v>
      </c>
      <c r="D15" t="s">
        <v>49</v>
      </c>
      <c r="E15" t="str">
        <f>IF(F15&lt;5,"Beginner",IF(F15&lt;=10,"Mid-Level","Senior"))</f>
        <v>Senior</v>
      </c>
      <c r="F15" s="2">
        <v>16</v>
      </c>
      <c r="G15" t="s">
        <v>55</v>
      </c>
      <c r="H15" t="s">
        <v>98</v>
      </c>
      <c r="I15" s="2" t="s">
        <v>99</v>
      </c>
      <c r="J15" s="2" t="s">
        <v>134</v>
      </c>
      <c r="K15" s="2">
        <v>2</v>
      </c>
      <c r="L15" s="2">
        <v>2025</v>
      </c>
      <c r="M15" t="s">
        <v>23</v>
      </c>
      <c r="N15" t="s">
        <v>67</v>
      </c>
      <c r="O15" t="s">
        <v>77</v>
      </c>
      <c r="P15">
        <v>3280</v>
      </c>
      <c r="Q15">
        <v>4</v>
      </c>
      <c r="R15" s="4">
        <f>(P15*(1+Q15/100))</f>
        <v>3411.2000000000003</v>
      </c>
    </row>
    <row r="16" spans="1:18" x14ac:dyDescent="0.3">
      <c r="A16" t="s">
        <v>18</v>
      </c>
      <c r="B16" t="s">
        <v>31</v>
      </c>
      <c r="C16" t="s">
        <v>38</v>
      </c>
      <c r="D16" t="s">
        <v>50</v>
      </c>
      <c r="E16" t="str">
        <f>IF(F16&lt;5,"Beginner",IF(F16&lt;=10,"Mid-Level","Senior"))</f>
        <v>Beginner</v>
      </c>
      <c r="F16" s="2">
        <v>3</v>
      </c>
      <c r="G16" t="s">
        <v>54</v>
      </c>
      <c r="H16" t="s">
        <v>98</v>
      </c>
      <c r="I16" s="2" t="s">
        <v>99</v>
      </c>
      <c r="J16" s="2" t="s">
        <v>134</v>
      </c>
      <c r="K16" s="2">
        <v>2</v>
      </c>
      <c r="L16" s="2">
        <v>2015</v>
      </c>
      <c r="M16" t="s">
        <v>29</v>
      </c>
      <c r="N16" t="s">
        <v>63</v>
      </c>
      <c r="O16" t="s">
        <v>76</v>
      </c>
      <c r="P16">
        <v>4749</v>
      </c>
      <c r="Q16">
        <v>5</v>
      </c>
      <c r="R16" s="4">
        <f>(P16*(1+Q16/100))</f>
        <v>4986.45</v>
      </c>
    </row>
    <row r="17" spans="1:18" x14ac:dyDescent="0.3">
      <c r="A17" t="s">
        <v>18</v>
      </c>
      <c r="B17" t="s">
        <v>27</v>
      </c>
      <c r="C17" t="s">
        <v>39</v>
      </c>
      <c r="D17" t="s">
        <v>50</v>
      </c>
      <c r="E17" t="str">
        <f>IF(F17&lt;5,"Beginner",IF(F17&lt;=10,"Mid-Level","Senior"))</f>
        <v>Beginner</v>
      </c>
      <c r="F17" s="2">
        <v>3</v>
      </c>
      <c r="G17" t="s">
        <v>54</v>
      </c>
      <c r="H17" t="s">
        <v>98</v>
      </c>
      <c r="I17" s="2" t="s">
        <v>99</v>
      </c>
      <c r="J17" s="2" t="s">
        <v>134</v>
      </c>
      <c r="K17" s="2">
        <v>2</v>
      </c>
      <c r="L17" s="2">
        <v>2019</v>
      </c>
      <c r="M17" t="s">
        <v>22</v>
      </c>
      <c r="N17" t="s">
        <v>63</v>
      </c>
      <c r="O17" t="s">
        <v>73</v>
      </c>
      <c r="P17">
        <v>8684</v>
      </c>
      <c r="Q17">
        <v>6</v>
      </c>
      <c r="R17" s="4">
        <f>(P17*(1+Q17/100))</f>
        <v>9205.0400000000009</v>
      </c>
    </row>
    <row r="18" spans="1:18" x14ac:dyDescent="0.3">
      <c r="A18" t="s">
        <v>18</v>
      </c>
      <c r="B18" t="s">
        <v>26</v>
      </c>
      <c r="C18" t="s">
        <v>34</v>
      </c>
      <c r="D18" t="s">
        <v>47</v>
      </c>
      <c r="E18" t="str">
        <f>IF(F18&lt;5,"Beginner",IF(F18&lt;=10,"Mid-Level","Senior"))</f>
        <v>Beginner</v>
      </c>
      <c r="F18" s="2">
        <v>4</v>
      </c>
      <c r="G18" t="s">
        <v>57</v>
      </c>
      <c r="H18" t="s">
        <v>98</v>
      </c>
      <c r="I18" s="2" t="s">
        <v>99</v>
      </c>
      <c r="J18" s="2" t="s">
        <v>134</v>
      </c>
      <c r="K18" s="2">
        <v>2</v>
      </c>
      <c r="L18" s="2">
        <v>2014</v>
      </c>
      <c r="M18" t="s">
        <v>22</v>
      </c>
      <c r="N18" t="s">
        <v>70</v>
      </c>
      <c r="O18" t="s">
        <v>77</v>
      </c>
      <c r="P18">
        <v>3066</v>
      </c>
      <c r="Q18">
        <v>9</v>
      </c>
      <c r="R18" s="4">
        <f>(P18*(1+Q18/100))</f>
        <v>3341.94</v>
      </c>
    </row>
    <row r="19" spans="1:18" x14ac:dyDescent="0.3">
      <c r="A19" t="s">
        <v>18</v>
      </c>
      <c r="B19" t="s">
        <v>22</v>
      </c>
      <c r="C19" t="s">
        <v>39</v>
      </c>
      <c r="D19" t="s">
        <v>43</v>
      </c>
      <c r="E19" t="str">
        <f>IF(F19&lt;5,"Beginner",IF(F19&lt;=10,"Mid-Level","Senior"))</f>
        <v>Mid-Level</v>
      </c>
      <c r="F19" s="2">
        <v>5</v>
      </c>
      <c r="G19" t="s">
        <v>59</v>
      </c>
      <c r="H19" t="s">
        <v>98</v>
      </c>
      <c r="I19" s="2" t="s">
        <v>99</v>
      </c>
      <c r="J19" s="2" t="s">
        <v>134</v>
      </c>
      <c r="K19" s="2">
        <v>2</v>
      </c>
      <c r="L19" s="2">
        <v>2020</v>
      </c>
      <c r="M19" t="s">
        <v>22</v>
      </c>
      <c r="N19" t="s">
        <v>67</v>
      </c>
      <c r="O19" t="s">
        <v>76</v>
      </c>
      <c r="P19">
        <v>7158</v>
      </c>
      <c r="Q19">
        <v>9</v>
      </c>
      <c r="R19" s="4">
        <f>(P19*(1+Q19/100))</f>
        <v>7802.22</v>
      </c>
    </row>
    <row r="20" spans="1:18" x14ac:dyDescent="0.3">
      <c r="A20" t="s">
        <v>18</v>
      </c>
      <c r="B20" t="s">
        <v>30</v>
      </c>
      <c r="C20" t="s">
        <v>5</v>
      </c>
      <c r="D20" t="s">
        <v>49</v>
      </c>
      <c r="E20" t="str">
        <f>IF(F20&lt;5,"Beginner",IF(F20&lt;=10,"Mid-Level","Senior"))</f>
        <v>Beginner</v>
      </c>
      <c r="F20" s="2">
        <v>2</v>
      </c>
      <c r="G20" t="s">
        <v>51</v>
      </c>
      <c r="H20" t="s">
        <v>98</v>
      </c>
      <c r="I20" s="2" t="s">
        <v>99</v>
      </c>
      <c r="J20" s="2" t="s">
        <v>134</v>
      </c>
      <c r="K20" s="2">
        <v>2</v>
      </c>
      <c r="L20" s="2">
        <v>2010</v>
      </c>
      <c r="M20" t="s">
        <v>24</v>
      </c>
      <c r="N20" t="s">
        <v>64</v>
      </c>
      <c r="O20" t="s">
        <v>77</v>
      </c>
      <c r="P20">
        <v>4351</v>
      </c>
      <c r="Q20">
        <v>10</v>
      </c>
      <c r="R20" s="4">
        <f>(P20*(1+Q20/100))</f>
        <v>4786.1000000000004</v>
      </c>
    </row>
    <row r="21" spans="1:18" x14ac:dyDescent="0.3">
      <c r="A21" t="s">
        <v>13</v>
      </c>
      <c r="B21" t="s">
        <v>23</v>
      </c>
      <c r="C21" t="s">
        <v>33</v>
      </c>
      <c r="D21" t="s">
        <v>42</v>
      </c>
      <c r="E21" t="str">
        <f>IF(F21&lt;5,"Beginner",IF(F21&lt;=10,"Mid-Level","Senior"))</f>
        <v>Beginner</v>
      </c>
      <c r="F21" s="2">
        <v>3</v>
      </c>
      <c r="G21" t="s">
        <v>52</v>
      </c>
      <c r="H21" t="s">
        <v>83</v>
      </c>
      <c r="I21" s="2" t="s">
        <v>84</v>
      </c>
      <c r="J21" s="2" t="s">
        <v>85</v>
      </c>
      <c r="K21" s="2">
        <v>3</v>
      </c>
      <c r="L21" s="2">
        <v>2021</v>
      </c>
      <c r="M21" t="s">
        <v>31</v>
      </c>
      <c r="N21" t="s">
        <v>64</v>
      </c>
      <c r="O21" t="s">
        <v>74</v>
      </c>
      <c r="P21">
        <v>14102</v>
      </c>
      <c r="Q21">
        <v>24</v>
      </c>
      <c r="R21" s="4">
        <f>(P21*(1+Q21/100))</f>
        <v>17486.48</v>
      </c>
    </row>
    <row r="22" spans="1:18" x14ac:dyDescent="0.3">
      <c r="A22" t="s">
        <v>13</v>
      </c>
      <c r="B22" t="s">
        <v>24</v>
      </c>
      <c r="C22" t="s">
        <v>38</v>
      </c>
      <c r="D22" t="s">
        <v>45</v>
      </c>
      <c r="E22" t="str">
        <f>IF(F22&lt;5,"Beginner",IF(F22&lt;=10,"Mid-Level","Senior"))</f>
        <v>Senior</v>
      </c>
      <c r="F22" s="2">
        <v>18</v>
      </c>
      <c r="G22" t="s">
        <v>55</v>
      </c>
      <c r="H22" t="s">
        <v>83</v>
      </c>
      <c r="I22" s="2" t="s">
        <v>84</v>
      </c>
      <c r="J22" s="2" t="s">
        <v>85</v>
      </c>
      <c r="K22" s="2">
        <v>3</v>
      </c>
      <c r="L22" s="2">
        <v>2017</v>
      </c>
      <c r="M22" t="s">
        <v>30</v>
      </c>
      <c r="N22" t="s">
        <v>66</v>
      </c>
      <c r="O22" t="s">
        <v>77</v>
      </c>
      <c r="P22">
        <v>14167</v>
      </c>
      <c r="Q22">
        <v>15</v>
      </c>
      <c r="R22" s="4">
        <f>(P22*(1+Q22/100))</f>
        <v>16292.05</v>
      </c>
    </row>
    <row r="23" spans="1:18" x14ac:dyDescent="0.3">
      <c r="A23" t="s">
        <v>13</v>
      </c>
      <c r="B23" t="s">
        <v>30</v>
      </c>
      <c r="C23" t="s">
        <v>37</v>
      </c>
      <c r="D23" t="s">
        <v>43</v>
      </c>
      <c r="E23" t="str">
        <f>IF(F23&lt;5,"Beginner",IF(F23&lt;=10,"Mid-Level","Senior"))</f>
        <v>Senior</v>
      </c>
      <c r="F23" s="2">
        <v>16</v>
      </c>
      <c r="G23" t="s">
        <v>56</v>
      </c>
      <c r="H23" t="s">
        <v>83</v>
      </c>
      <c r="I23" s="2" t="s">
        <v>84</v>
      </c>
      <c r="J23" s="2" t="s">
        <v>85</v>
      </c>
      <c r="K23" s="2">
        <v>3</v>
      </c>
      <c r="L23" s="2">
        <v>2013</v>
      </c>
      <c r="M23" t="s">
        <v>24</v>
      </c>
      <c r="N23" t="s">
        <v>71</v>
      </c>
      <c r="O23" t="s">
        <v>76</v>
      </c>
      <c r="P23">
        <v>14737</v>
      </c>
      <c r="Q23">
        <v>25</v>
      </c>
      <c r="R23" s="4">
        <f>(P23*(1+Q23/100))</f>
        <v>18421.25</v>
      </c>
    </row>
    <row r="24" spans="1:18" x14ac:dyDescent="0.3">
      <c r="A24" t="s">
        <v>13</v>
      </c>
      <c r="B24" t="s">
        <v>29</v>
      </c>
      <c r="C24" t="s">
        <v>5</v>
      </c>
      <c r="D24" t="s">
        <v>45</v>
      </c>
      <c r="E24" t="str">
        <f>IF(F24&lt;5,"Beginner",IF(F24&lt;=10,"Mid-Level","Senior"))</f>
        <v>Senior</v>
      </c>
      <c r="F24" s="2">
        <v>17</v>
      </c>
      <c r="G24" t="s">
        <v>55</v>
      </c>
      <c r="H24" t="s">
        <v>83</v>
      </c>
      <c r="I24" s="2" t="s">
        <v>84</v>
      </c>
      <c r="J24" s="2" t="s">
        <v>85</v>
      </c>
      <c r="K24" s="2">
        <v>3</v>
      </c>
      <c r="L24" s="2">
        <v>2018</v>
      </c>
      <c r="M24" t="s">
        <v>24</v>
      </c>
      <c r="N24" t="s">
        <v>66</v>
      </c>
      <c r="O24" t="s">
        <v>75</v>
      </c>
      <c r="P24">
        <v>16324</v>
      </c>
      <c r="Q24">
        <v>19</v>
      </c>
      <c r="R24" s="4">
        <f>(P24*(1+Q24/100))</f>
        <v>19425.559999999998</v>
      </c>
    </row>
    <row r="25" spans="1:18" x14ac:dyDescent="0.3">
      <c r="A25" t="s">
        <v>13</v>
      </c>
      <c r="B25" t="s">
        <v>31</v>
      </c>
      <c r="C25" t="s">
        <v>37</v>
      </c>
      <c r="D25" t="s">
        <v>41</v>
      </c>
      <c r="E25" t="str">
        <f>IF(F25&lt;5,"Beginner",IF(F25&lt;=10,"Mid-Level","Senior"))</f>
        <v>Mid-Level</v>
      </c>
      <c r="F25" s="2">
        <v>8</v>
      </c>
      <c r="G25" t="s">
        <v>56</v>
      </c>
      <c r="H25" t="s">
        <v>83</v>
      </c>
      <c r="I25" s="2" t="s">
        <v>84</v>
      </c>
      <c r="J25" s="2" t="s">
        <v>85</v>
      </c>
      <c r="K25" s="2">
        <v>3</v>
      </c>
      <c r="L25" s="2">
        <v>2020</v>
      </c>
      <c r="M25" t="s">
        <v>29</v>
      </c>
      <c r="N25" t="s">
        <v>66</v>
      </c>
      <c r="O25" t="s">
        <v>74</v>
      </c>
      <c r="P25">
        <v>12124</v>
      </c>
      <c r="Q25">
        <v>14</v>
      </c>
      <c r="R25" s="4">
        <f>(P25*(1+Q25/100))</f>
        <v>13821.360000000002</v>
      </c>
    </row>
    <row r="26" spans="1:18" x14ac:dyDescent="0.3">
      <c r="A26" t="s">
        <v>13</v>
      </c>
      <c r="B26" t="s">
        <v>31</v>
      </c>
      <c r="C26" t="s">
        <v>40</v>
      </c>
      <c r="D26" t="s">
        <v>46</v>
      </c>
      <c r="E26" t="str">
        <f>IF(F26&lt;5,"Beginner",IF(F26&lt;=10,"Mid-Level","Senior"))</f>
        <v>Mid-Level</v>
      </c>
      <c r="F26" s="2">
        <v>5</v>
      </c>
      <c r="G26" t="s">
        <v>56</v>
      </c>
      <c r="H26" t="s">
        <v>83</v>
      </c>
      <c r="I26" s="2" t="s">
        <v>84</v>
      </c>
      <c r="J26" s="2" t="s">
        <v>85</v>
      </c>
      <c r="K26" s="2">
        <v>3</v>
      </c>
      <c r="L26" s="2">
        <v>2022</v>
      </c>
      <c r="M26" t="s">
        <v>27</v>
      </c>
      <c r="N26" t="s">
        <v>68</v>
      </c>
      <c r="O26" t="s">
        <v>77</v>
      </c>
      <c r="P26">
        <v>10330</v>
      </c>
      <c r="Q26">
        <v>24</v>
      </c>
      <c r="R26" s="4">
        <f>(P26*(1+Q26/100))</f>
        <v>12809.2</v>
      </c>
    </row>
    <row r="27" spans="1:18" x14ac:dyDescent="0.3">
      <c r="A27" t="s">
        <v>13</v>
      </c>
      <c r="B27" t="s">
        <v>23</v>
      </c>
      <c r="C27" t="s">
        <v>35</v>
      </c>
      <c r="D27" t="s">
        <v>49</v>
      </c>
      <c r="E27" t="str">
        <f>IF(F27&lt;5,"Beginner",IF(F27&lt;=10,"Mid-Level","Senior"))</f>
        <v>Senior</v>
      </c>
      <c r="F27" s="2">
        <v>11</v>
      </c>
      <c r="G27" t="s">
        <v>58</v>
      </c>
      <c r="H27" t="s">
        <v>83</v>
      </c>
      <c r="I27" s="2" t="s">
        <v>84</v>
      </c>
      <c r="J27" s="2" t="s">
        <v>85</v>
      </c>
      <c r="K27" s="2">
        <v>3</v>
      </c>
      <c r="L27" s="2">
        <v>2014</v>
      </c>
      <c r="M27" t="s">
        <v>24</v>
      </c>
      <c r="N27" t="s">
        <v>64</v>
      </c>
      <c r="O27" t="s">
        <v>74</v>
      </c>
      <c r="P27">
        <v>11990</v>
      </c>
      <c r="Q27">
        <v>16</v>
      </c>
      <c r="R27" s="4">
        <f>(P27*(1+Q27/100))</f>
        <v>13908.4</v>
      </c>
    </row>
    <row r="28" spans="1:18" x14ac:dyDescent="0.3">
      <c r="A28" t="s">
        <v>13</v>
      </c>
      <c r="B28" t="s">
        <v>26</v>
      </c>
      <c r="C28" t="s">
        <v>32</v>
      </c>
      <c r="D28" t="s">
        <v>41</v>
      </c>
      <c r="E28" t="str">
        <f>IF(F28&lt;5,"Beginner",IF(F28&lt;=10,"Mid-Level","Senior"))</f>
        <v>Senior</v>
      </c>
      <c r="F28" s="2">
        <v>11</v>
      </c>
      <c r="G28" t="s">
        <v>54</v>
      </c>
      <c r="H28" t="s">
        <v>83</v>
      </c>
      <c r="I28" s="2" t="s">
        <v>84</v>
      </c>
      <c r="J28" s="2" t="s">
        <v>85</v>
      </c>
      <c r="K28" s="2">
        <v>3</v>
      </c>
      <c r="L28" s="2">
        <v>2021</v>
      </c>
      <c r="M28" t="s">
        <v>24</v>
      </c>
      <c r="N28" t="s">
        <v>67</v>
      </c>
      <c r="O28" t="s">
        <v>73</v>
      </c>
      <c r="P28">
        <v>11727</v>
      </c>
      <c r="Q28">
        <v>25</v>
      </c>
      <c r="R28" s="4">
        <f>(P28*(1+Q28/100))</f>
        <v>14658.75</v>
      </c>
    </row>
    <row r="29" spans="1:18" x14ac:dyDescent="0.3">
      <c r="A29" t="s">
        <v>13</v>
      </c>
      <c r="B29" t="s">
        <v>22</v>
      </c>
      <c r="C29" t="s">
        <v>37</v>
      </c>
      <c r="D29" t="s">
        <v>41</v>
      </c>
      <c r="E29" t="str">
        <f>IF(F29&lt;5,"Beginner",IF(F29&lt;=10,"Mid-Level","Senior"))</f>
        <v>Beginner</v>
      </c>
      <c r="F29" s="2">
        <v>4</v>
      </c>
      <c r="G29" t="s">
        <v>56</v>
      </c>
      <c r="H29" t="s">
        <v>83</v>
      </c>
      <c r="I29" s="2" t="s">
        <v>84</v>
      </c>
      <c r="J29" s="2" t="s">
        <v>85</v>
      </c>
      <c r="K29" s="2">
        <v>3</v>
      </c>
      <c r="L29" s="2">
        <v>2013</v>
      </c>
      <c r="M29" t="s">
        <v>24</v>
      </c>
      <c r="N29" t="s">
        <v>70</v>
      </c>
      <c r="O29" t="s">
        <v>73</v>
      </c>
      <c r="P29">
        <v>13564</v>
      </c>
      <c r="Q29">
        <v>25</v>
      </c>
      <c r="R29" s="4">
        <f>(P29*(1+Q29/100))</f>
        <v>16955</v>
      </c>
    </row>
    <row r="30" spans="1:18" x14ac:dyDescent="0.3">
      <c r="A30" t="s">
        <v>13</v>
      </c>
      <c r="B30" t="s">
        <v>25</v>
      </c>
      <c r="C30" t="s">
        <v>38</v>
      </c>
      <c r="D30" t="s">
        <v>49</v>
      </c>
      <c r="E30" t="str">
        <f>IF(F30&lt;5,"Beginner",IF(F30&lt;=10,"Mid-Level","Senior"))</f>
        <v>Senior</v>
      </c>
      <c r="F30" s="2">
        <v>17</v>
      </c>
      <c r="G30" t="s">
        <v>52</v>
      </c>
      <c r="H30" t="s">
        <v>83</v>
      </c>
      <c r="I30" s="2" t="s">
        <v>84</v>
      </c>
      <c r="J30" s="2" t="s">
        <v>85</v>
      </c>
      <c r="K30" s="2">
        <v>3</v>
      </c>
      <c r="L30" s="2">
        <v>2019</v>
      </c>
      <c r="M30" t="s">
        <v>29</v>
      </c>
      <c r="N30" t="s">
        <v>66</v>
      </c>
      <c r="O30" t="s">
        <v>77</v>
      </c>
      <c r="P30">
        <v>16011</v>
      </c>
      <c r="Q30">
        <v>25</v>
      </c>
      <c r="R30" s="4">
        <f>(P30*(1+Q30/100))</f>
        <v>20013.75</v>
      </c>
    </row>
    <row r="31" spans="1:18" x14ac:dyDescent="0.3">
      <c r="A31" t="s">
        <v>13</v>
      </c>
      <c r="B31" t="s">
        <v>25</v>
      </c>
      <c r="C31" t="s">
        <v>36</v>
      </c>
      <c r="D31" t="s">
        <v>50</v>
      </c>
      <c r="E31" t="str">
        <f>IF(F31&lt;5,"Beginner",IF(F31&lt;=10,"Mid-Level","Senior"))</f>
        <v>Beginner</v>
      </c>
      <c r="F31" s="2">
        <v>4</v>
      </c>
      <c r="G31" t="s">
        <v>55</v>
      </c>
      <c r="H31" t="s">
        <v>83</v>
      </c>
      <c r="I31" s="2" t="s">
        <v>84</v>
      </c>
      <c r="J31" s="2" t="s">
        <v>85</v>
      </c>
      <c r="K31" s="2">
        <v>3</v>
      </c>
      <c r="L31" s="2">
        <v>2011</v>
      </c>
      <c r="M31" t="s">
        <v>25</v>
      </c>
      <c r="N31" t="s">
        <v>72</v>
      </c>
      <c r="O31" t="s">
        <v>73</v>
      </c>
      <c r="P31">
        <v>11053</v>
      </c>
      <c r="Q31">
        <v>11</v>
      </c>
      <c r="R31" s="4">
        <f>(P31*(1+Q31/100))</f>
        <v>12268.830000000002</v>
      </c>
    </row>
    <row r="32" spans="1:18" x14ac:dyDescent="0.3">
      <c r="A32" t="s">
        <v>13</v>
      </c>
      <c r="B32" t="s">
        <v>31</v>
      </c>
      <c r="C32" t="s">
        <v>36</v>
      </c>
      <c r="D32" t="s">
        <v>47</v>
      </c>
      <c r="E32" t="str">
        <f>IF(F32&lt;5,"Beginner",IF(F32&lt;=10,"Mid-Level","Senior"))</f>
        <v>Senior</v>
      </c>
      <c r="F32" s="2">
        <v>13</v>
      </c>
      <c r="G32" t="s">
        <v>55</v>
      </c>
      <c r="H32" t="s">
        <v>83</v>
      </c>
      <c r="I32" s="2" t="s">
        <v>84</v>
      </c>
      <c r="J32" s="2" t="s">
        <v>85</v>
      </c>
      <c r="K32" s="2">
        <v>3</v>
      </c>
      <c r="L32" s="2">
        <v>2012</v>
      </c>
      <c r="M32" t="s">
        <v>27</v>
      </c>
      <c r="N32" t="s">
        <v>64</v>
      </c>
      <c r="O32" t="s">
        <v>73</v>
      </c>
      <c r="P32">
        <v>10240</v>
      </c>
      <c r="Q32">
        <v>17</v>
      </c>
      <c r="R32" s="4">
        <f>(P32*(1+Q32/100))</f>
        <v>11980.8</v>
      </c>
    </row>
    <row r="33" spans="1:18" x14ac:dyDescent="0.3">
      <c r="A33" t="s">
        <v>13</v>
      </c>
      <c r="B33" t="s">
        <v>24</v>
      </c>
      <c r="C33" t="s">
        <v>37</v>
      </c>
      <c r="D33" t="s">
        <v>45</v>
      </c>
      <c r="E33" t="str">
        <f>IF(F33&lt;5,"Beginner",IF(F33&lt;=10,"Mid-Level","Senior"))</f>
        <v>Senior</v>
      </c>
      <c r="F33" s="2">
        <v>13</v>
      </c>
      <c r="G33" t="s">
        <v>56</v>
      </c>
      <c r="H33" t="s">
        <v>83</v>
      </c>
      <c r="I33" s="2" t="s">
        <v>84</v>
      </c>
      <c r="J33" s="2" t="s">
        <v>85</v>
      </c>
      <c r="K33" s="2">
        <v>3</v>
      </c>
      <c r="L33" s="2">
        <v>2016</v>
      </c>
      <c r="M33" t="s">
        <v>25</v>
      </c>
      <c r="N33" t="s">
        <v>64</v>
      </c>
      <c r="O33" t="s">
        <v>73</v>
      </c>
      <c r="P33">
        <v>16881</v>
      </c>
      <c r="Q33">
        <v>13</v>
      </c>
      <c r="R33" s="4">
        <f>(P33*(1+Q33/100))</f>
        <v>19075.53</v>
      </c>
    </row>
    <row r="34" spans="1:18" x14ac:dyDescent="0.3">
      <c r="A34" t="s">
        <v>13</v>
      </c>
      <c r="B34" t="s">
        <v>29</v>
      </c>
      <c r="C34" t="s">
        <v>35</v>
      </c>
      <c r="D34" t="s">
        <v>49</v>
      </c>
      <c r="E34" t="str">
        <f>IF(F34&lt;5,"Beginner",IF(F34&lt;=10,"Mid-Level","Senior"))</f>
        <v>Beginner</v>
      </c>
      <c r="F34" s="2">
        <v>2</v>
      </c>
      <c r="G34" t="s">
        <v>51</v>
      </c>
      <c r="H34" t="s">
        <v>83</v>
      </c>
      <c r="I34" s="2" t="s">
        <v>84</v>
      </c>
      <c r="J34" s="2" t="s">
        <v>85</v>
      </c>
      <c r="K34" s="2">
        <v>3</v>
      </c>
      <c r="L34" s="2">
        <v>2015</v>
      </c>
      <c r="M34" t="s">
        <v>28</v>
      </c>
      <c r="N34" t="s">
        <v>68</v>
      </c>
      <c r="O34" t="s">
        <v>77</v>
      </c>
      <c r="P34">
        <v>12220</v>
      </c>
      <c r="Q34">
        <v>24</v>
      </c>
      <c r="R34" s="4">
        <f>(P34*(1+Q34/100))</f>
        <v>15152.8</v>
      </c>
    </row>
    <row r="35" spans="1:18" x14ac:dyDescent="0.3">
      <c r="A35" t="s">
        <v>13</v>
      </c>
      <c r="B35" t="s">
        <v>30</v>
      </c>
      <c r="C35" t="s">
        <v>32</v>
      </c>
      <c r="D35" t="s">
        <v>48</v>
      </c>
      <c r="E35" t="str">
        <f>IF(F35&lt;5,"Beginner",IF(F35&lt;=10,"Mid-Level","Senior"))</f>
        <v>Senior</v>
      </c>
      <c r="F35" s="2">
        <v>17</v>
      </c>
      <c r="G35" t="s">
        <v>53</v>
      </c>
      <c r="H35" t="s">
        <v>83</v>
      </c>
      <c r="I35" s="2" t="s">
        <v>84</v>
      </c>
      <c r="J35" s="2" t="s">
        <v>85</v>
      </c>
      <c r="K35" s="2">
        <v>3</v>
      </c>
      <c r="L35" s="2">
        <v>2012</v>
      </c>
      <c r="M35" t="s">
        <v>24</v>
      </c>
      <c r="N35" t="s">
        <v>68</v>
      </c>
      <c r="O35" t="s">
        <v>76</v>
      </c>
      <c r="P35">
        <v>13635</v>
      </c>
      <c r="Q35">
        <v>23</v>
      </c>
      <c r="R35" s="4">
        <f>(P35*(1+Q35/100))</f>
        <v>16771.05</v>
      </c>
    </row>
    <row r="36" spans="1:18" x14ac:dyDescent="0.3">
      <c r="A36" t="s">
        <v>13</v>
      </c>
      <c r="B36" t="s">
        <v>29</v>
      </c>
      <c r="C36" t="s">
        <v>33</v>
      </c>
      <c r="D36" t="s">
        <v>46</v>
      </c>
      <c r="E36" t="str">
        <f>IF(F36&lt;5,"Beginner",IF(F36&lt;=10,"Mid-Level","Senior"))</f>
        <v>Senior</v>
      </c>
      <c r="F36" s="2">
        <v>14</v>
      </c>
      <c r="G36" t="s">
        <v>52</v>
      </c>
      <c r="H36" t="s">
        <v>83</v>
      </c>
      <c r="I36" s="2" t="s">
        <v>84</v>
      </c>
      <c r="J36" s="2" t="s">
        <v>85</v>
      </c>
      <c r="K36" s="2">
        <v>3</v>
      </c>
      <c r="L36" s="2">
        <v>2019</v>
      </c>
      <c r="M36" t="s">
        <v>30</v>
      </c>
      <c r="N36" t="s">
        <v>71</v>
      </c>
      <c r="O36" t="s">
        <v>74</v>
      </c>
      <c r="P36">
        <v>12675</v>
      </c>
      <c r="Q36">
        <v>25</v>
      </c>
      <c r="R36" s="4">
        <f>(P36*(1+Q36/100))</f>
        <v>15843.75</v>
      </c>
    </row>
    <row r="37" spans="1:18" x14ac:dyDescent="0.3">
      <c r="A37" t="s">
        <v>13</v>
      </c>
      <c r="B37" t="s">
        <v>24</v>
      </c>
      <c r="C37" t="s">
        <v>38</v>
      </c>
      <c r="D37" t="s">
        <v>43</v>
      </c>
      <c r="E37" t="str">
        <f>IF(F37&lt;5,"Beginner",IF(F37&lt;=10,"Mid-Level","Senior"))</f>
        <v>Beginner</v>
      </c>
      <c r="F37" s="2">
        <v>2</v>
      </c>
      <c r="G37" t="s">
        <v>52</v>
      </c>
      <c r="H37" t="s">
        <v>83</v>
      </c>
      <c r="I37" s="2" t="s">
        <v>84</v>
      </c>
      <c r="J37" s="2" t="s">
        <v>85</v>
      </c>
      <c r="K37" s="2">
        <v>3</v>
      </c>
      <c r="L37" s="2">
        <v>2011</v>
      </c>
      <c r="M37" t="s">
        <v>28</v>
      </c>
      <c r="N37" t="s">
        <v>64</v>
      </c>
      <c r="O37" t="s">
        <v>75</v>
      </c>
      <c r="P37">
        <v>10314</v>
      </c>
      <c r="Q37">
        <v>11</v>
      </c>
      <c r="R37" s="4">
        <f>(P37*(1+Q37/100))</f>
        <v>11448.54</v>
      </c>
    </row>
    <row r="38" spans="1:18" x14ac:dyDescent="0.3">
      <c r="A38" t="s">
        <v>13</v>
      </c>
      <c r="B38" t="s">
        <v>27</v>
      </c>
      <c r="C38" t="s">
        <v>37</v>
      </c>
      <c r="D38" t="s">
        <v>45</v>
      </c>
      <c r="E38" t="str">
        <f>IF(F38&lt;5,"Beginner",IF(F38&lt;=10,"Mid-Level","Senior"))</f>
        <v>Senior</v>
      </c>
      <c r="F38" s="2">
        <v>20</v>
      </c>
      <c r="G38" t="s">
        <v>58</v>
      </c>
      <c r="H38" t="s">
        <v>83</v>
      </c>
      <c r="I38" s="2" t="s">
        <v>84</v>
      </c>
      <c r="J38" s="2" t="s">
        <v>85</v>
      </c>
      <c r="K38" s="2">
        <v>3</v>
      </c>
      <c r="L38" s="2">
        <v>2012</v>
      </c>
      <c r="M38" t="s">
        <v>24</v>
      </c>
      <c r="N38" t="s">
        <v>69</v>
      </c>
      <c r="O38" t="s">
        <v>76</v>
      </c>
      <c r="P38">
        <v>13729</v>
      </c>
      <c r="Q38">
        <v>10</v>
      </c>
      <c r="R38" s="4">
        <f>(P38*(1+Q38/100))</f>
        <v>15101.900000000001</v>
      </c>
    </row>
    <row r="39" spans="1:18" x14ac:dyDescent="0.3">
      <c r="A39" t="s">
        <v>13</v>
      </c>
      <c r="B39" t="s">
        <v>28</v>
      </c>
      <c r="C39" t="s">
        <v>39</v>
      </c>
      <c r="D39" t="s">
        <v>45</v>
      </c>
      <c r="E39" t="str">
        <f>IF(F39&lt;5,"Beginner",IF(F39&lt;=10,"Mid-Level","Senior"))</f>
        <v>Senior</v>
      </c>
      <c r="F39" s="2">
        <v>11</v>
      </c>
      <c r="G39" t="s">
        <v>58</v>
      </c>
      <c r="H39" t="s">
        <v>83</v>
      </c>
      <c r="I39" s="2" t="s">
        <v>84</v>
      </c>
      <c r="J39" s="2" t="s">
        <v>85</v>
      </c>
      <c r="K39" s="2">
        <v>3</v>
      </c>
      <c r="L39" s="2">
        <v>2025</v>
      </c>
      <c r="M39" t="s">
        <v>31</v>
      </c>
      <c r="N39" t="s">
        <v>69</v>
      </c>
      <c r="O39" t="s">
        <v>73</v>
      </c>
      <c r="P39">
        <v>17789</v>
      </c>
      <c r="Q39">
        <v>23</v>
      </c>
      <c r="R39" s="4">
        <f>(P39*(1+Q39/100))</f>
        <v>21880.47</v>
      </c>
    </row>
    <row r="40" spans="1:18" x14ac:dyDescent="0.3">
      <c r="A40" t="s">
        <v>13</v>
      </c>
      <c r="B40" t="s">
        <v>22</v>
      </c>
      <c r="C40" t="s">
        <v>35</v>
      </c>
      <c r="D40" t="s">
        <v>43</v>
      </c>
      <c r="E40" t="str">
        <f>IF(F40&lt;5,"Beginner",IF(F40&lt;=10,"Mid-Level","Senior"))</f>
        <v>Mid-Level</v>
      </c>
      <c r="F40" s="2">
        <v>7</v>
      </c>
      <c r="G40" t="s">
        <v>58</v>
      </c>
      <c r="H40" t="s">
        <v>83</v>
      </c>
      <c r="I40" s="2" t="s">
        <v>84</v>
      </c>
      <c r="J40" s="2" t="s">
        <v>85</v>
      </c>
      <c r="K40" s="2">
        <v>3</v>
      </c>
      <c r="L40" s="2">
        <v>2017</v>
      </c>
      <c r="M40" t="s">
        <v>29</v>
      </c>
      <c r="N40" t="s">
        <v>66</v>
      </c>
      <c r="O40" t="s">
        <v>75</v>
      </c>
      <c r="P40">
        <v>11316</v>
      </c>
      <c r="Q40">
        <v>11</v>
      </c>
      <c r="R40" s="4">
        <f>(P40*(1+Q40/100))</f>
        <v>12560.76</v>
      </c>
    </row>
    <row r="41" spans="1:18" x14ac:dyDescent="0.3">
      <c r="A41" t="s">
        <v>13</v>
      </c>
      <c r="B41" t="s">
        <v>25</v>
      </c>
      <c r="C41" t="s">
        <v>32</v>
      </c>
      <c r="D41" t="s">
        <v>42</v>
      </c>
      <c r="E41" t="str">
        <f>IF(F41&lt;5,"Beginner",IF(F41&lt;=10,"Mid-Level","Senior"))</f>
        <v>Senior</v>
      </c>
      <c r="F41" s="2">
        <v>19</v>
      </c>
      <c r="G41" t="s">
        <v>59</v>
      </c>
      <c r="H41" t="s">
        <v>83</v>
      </c>
      <c r="I41" s="2" t="s">
        <v>84</v>
      </c>
      <c r="J41" s="2" t="s">
        <v>85</v>
      </c>
      <c r="K41" s="2">
        <v>3</v>
      </c>
      <c r="L41" s="2">
        <v>2023</v>
      </c>
      <c r="M41" t="s">
        <v>23</v>
      </c>
      <c r="N41" t="s">
        <v>71</v>
      </c>
      <c r="O41" t="s">
        <v>75</v>
      </c>
      <c r="P41">
        <v>12652</v>
      </c>
      <c r="Q41">
        <v>20</v>
      </c>
      <c r="R41" s="4">
        <f>(P41*(1+Q41/100))</f>
        <v>15182.4</v>
      </c>
    </row>
    <row r="42" spans="1:18" x14ac:dyDescent="0.3">
      <c r="A42" t="s">
        <v>13</v>
      </c>
      <c r="B42" t="s">
        <v>27</v>
      </c>
      <c r="C42" t="s">
        <v>5</v>
      </c>
      <c r="D42" t="s">
        <v>46</v>
      </c>
      <c r="E42" t="str">
        <f>IF(F42&lt;5,"Beginner",IF(F42&lt;=10,"Mid-Level","Senior"))</f>
        <v>Beginner</v>
      </c>
      <c r="F42" s="2">
        <v>3</v>
      </c>
      <c r="G42" t="s">
        <v>58</v>
      </c>
      <c r="H42" t="s">
        <v>83</v>
      </c>
      <c r="I42" s="2" t="s">
        <v>84</v>
      </c>
      <c r="J42" s="2" t="s">
        <v>85</v>
      </c>
      <c r="K42" s="2">
        <v>3</v>
      </c>
      <c r="L42" s="2">
        <v>2018</v>
      </c>
      <c r="M42" t="s">
        <v>23</v>
      </c>
      <c r="N42" t="s">
        <v>63</v>
      </c>
      <c r="O42" t="s">
        <v>76</v>
      </c>
      <c r="P42">
        <v>11582</v>
      </c>
      <c r="Q42">
        <v>15</v>
      </c>
      <c r="R42" s="4">
        <f>(P42*(1+Q42/100))</f>
        <v>13319.3</v>
      </c>
    </row>
    <row r="43" spans="1:18" x14ac:dyDescent="0.3">
      <c r="A43" t="s">
        <v>13</v>
      </c>
      <c r="B43" t="s">
        <v>27</v>
      </c>
      <c r="C43" t="s">
        <v>5</v>
      </c>
      <c r="D43" t="s">
        <v>42</v>
      </c>
      <c r="E43" t="str">
        <f>IF(F43&lt;5,"Beginner",IF(F43&lt;=10,"Mid-Level","Senior"))</f>
        <v>Senior</v>
      </c>
      <c r="F43" s="2">
        <v>13</v>
      </c>
      <c r="G43" t="s">
        <v>53</v>
      </c>
      <c r="H43" t="s">
        <v>83</v>
      </c>
      <c r="I43" s="2" t="s">
        <v>84</v>
      </c>
      <c r="J43" s="2" t="s">
        <v>85</v>
      </c>
      <c r="K43" s="2">
        <v>3</v>
      </c>
      <c r="L43" s="2">
        <v>2023</v>
      </c>
      <c r="M43" t="s">
        <v>24</v>
      </c>
      <c r="N43" t="s">
        <v>65</v>
      </c>
      <c r="O43" t="s">
        <v>77</v>
      </c>
      <c r="P43">
        <v>10880</v>
      </c>
      <c r="Q43">
        <v>25</v>
      </c>
      <c r="R43" s="4">
        <f>(P43*(1+Q43/100))</f>
        <v>13600</v>
      </c>
    </row>
    <row r="44" spans="1:18" x14ac:dyDescent="0.3">
      <c r="A44" t="s">
        <v>13</v>
      </c>
      <c r="B44" t="s">
        <v>29</v>
      </c>
      <c r="C44" t="s">
        <v>40</v>
      </c>
      <c r="D44" t="s">
        <v>48</v>
      </c>
      <c r="E44" t="str">
        <f>IF(F44&lt;5,"Beginner",IF(F44&lt;=10,"Mid-Level","Senior"))</f>
        <v>Senior</v>
      </c>
      <c r="F44" s="2">
        <v>15</v>
      </c>
      <c r="G44" t="s">
        <v>53</v>
      </c>
      <c r="H44" t="s">
        <v>83</v>
      </c>
      <c r="I44" s="2" t="s">
        <v>84</v>
      </c>
      <c r="J44" s="2" t="s">
        <v>85</v>
      </c>
      <c r="K44" s="2">
        <v>3</v>
      </c>
      <c r="L44" s="2">
        <v>2024</v>
      </c>
      <c r="M44" t="s">
        <v>29</v>
      </c>
      <c r="N44" t="s">
        <v>71</v>
      </c>
      <c r="O44" t="s">
        <v>77</v>
      </c>
      <c r="P44">
        <v>15702</v>
      </c>
      <c r="Q44">
        <v>23</v>
      </c>
      <c r="R44" s="4">
        <f>(P44*(1+Q44/100))</f>
        <v>19313.46</v>
      </c>
    </row>
    <row r="45" spans="1:18" x14ac:dyDescent="0.3">
      <c r="A45" t="s">
        <v>21</v>
      </c>
      <c r="B45" t="s">
        <v>24</v>
      </c>
      <c r="C45" t="s">
        <v>33</v>
      </c>
      <c r="D45" t="s">
        <v>42</v>
      </c>
      <c r="E45" t="str">
        <f>IF(F45&lt;5,"Beginner",IF(F45&lt;=10,"Mid-Level","Senior"))</f>
        <v>Senior</v>
      </c>
      <c r="F45" s="2">
        <v>19</v>
      </c>
      <c r="G45" t="s">
        <v>58</v>
      </c>
      <c r="H45" t="s">
        <v>117</v>
      </c>
      <c r="I45" s="2" t="s">
        <v>118</v>
      </c>
      <c r="J45" s="2" t="s">
        <v>119</v>
      </c>
      <c r="K45" s="2">
        <v>3</v>
      </c>
      <c r="L45" s="2">
        <v>2021</v>
      </c>
      <c r="M45" t="s">
        <v>26</v>
      </c>
      <c r="N45" t="s">
        <v>71</v>
      </c>
      <c r="O45" t="s">
        <v>73</v>
      </c>
      <c r="P45">
        <v>12904</v>
      </c>
      <c r="Q45">
        <v>9</v>
      </c>
      <c r="R45" s="4">
        <f>(P45*(1+Q45/100))</f>
        <v>14065.36</v>
      </c>
    </row>
    <row r="46" spans="1:18" x14ac:dyDescent="0.3">
      <c r="A46" t="s">
        <v>21</v>
      </c>
      <c r="B46" t="s">
        <v>29</v>
      </c>
      <c r="C46" t="s">
        <v>40</v>
      </c>
      <c r="D46" t="s">
        <v>46</v>
      </c>
      <c r="E46" t="str">
        <f>IF(F46&lt;5,"Beginner",IF(F46&lt;=10,"Mid-Level","Senior"))</f>
        <v>Mid-Level</v>
      </c>
      <c r="F46" s="2">
        <v>5</v>
      </c>
      <c r="G46" t="s">
        <v>53</v>
      </c>
      <c r="H46" t="s">
        <v>117</v>
      </c>
      <c r="I46" s="2" t="s">
        <v>118</v>
      </c>
      <c r="J46" s="2" t="s">
        <v>119</v>
      </c>
      <c r="K46" s="2">
        <v>3</v>
      </c>
      <c r="L46" s="2">
        <v>2022</v>
      </c>
      <c r="M46" t="s">
        <v>27</v>
      </c>
      <c r="N46" t="s">
        <v>70</v>
      </c>
      <c r="O46" t="s">
        <v>76</v>
      </c>
      <c r="P46">
        <v>9433</v>
      </c>
      <c r="Q46">
        <v>10</v>
      </c>
      <c r="R46" s="4">
        <f>(P46*(1+Q46/100))</f>
        <v>10376.300000000001</v>
      </c>
    </row>
    <row r="47" spans="1:18" x14ac:dyDescent="0.3">
      <c r="A47" t="s">
        <v>21</v>
      </c>
      <c r="B47" t="s">
        <v>26</v>
      </c>
      <c r="C47" t="s">
        <v>39</v>
      </c>
      <c r="D47" t="s">
        <v>43</v>
      </c>
      <c r="E47" t="str">
        <f>IF(F47&lt;5,"Beginner",IF(F47&lt;=10,"Mid-Level","Senior"))</f>
        <v>Beginner</v>
      </c>
      <c r="F47" s="2">
        <v>3</v>
      </c>
      <c r="G47" t="s">
        <v>57</v>
      </c>
      <c r="H47" t="s">
        <v>117</v>
      </c>
      <c r="I47" s="2" t="s">
        <v>118</v>
      </c>
      <c r="J47" s="2" t="s">
        <v>119</v>
      </c>
      <c r="K47" s="2">
        <v>3</v>
      </c>
      <c r="L47" s="2">
        <v>2016</v>
      </c>
      <c r="M47" t="s">
        <v>30</v>
      </c>
      <c r="N47" t="s">
        <v>63</v>
      </c>
      <c r="O47" t="s">
        <v>75</v>
      </c>
      <c r="P47">
        <v>10556</v>
      </c>
      <c r="Q47">
        <v>12</v>
      </c>
      <c r="R47" s="4">
        <f>(P47*(1+Q47/100))</f>
        <v>11822.720000000001</v>
      </c>
    </row>
    <row r="48" spans="1:18" x14ac:dyDescent="0.3">
      <c r="A48" t="s">
        <v>21</v>
      </c>
      <c r="B48" t="s">
        <v>24</v>
      </c>
      <c r="C48" t="s">
        <v>37</v>
      </c>
      <c r="D48" t="s">
        <v>47</v>
      </c>
      <c r="E48" t="str">
        <f>IF(F48&lt;5,"Beginner",IF(F48&lt;=10,"Mid-Level","Senior"))</f>
        <v>Senior</v>
      </c>
      <c r="F48" s="2">
        <v>15</v>
      </c>
      <c r="G48" t="s">
        <v>55</v>
      </c>
      <c r="H48" t="s">
        <v>117</v>
      </c>
      <c r="I48" s="2" t="s">
        <v>118</v>
      </c>
      <c r="J48" s="2" t="s">
        <v>119</v>
      </c>
      <c r="K48" s="2">
        <v>3</v>
      </c>
      <c r="L48" s="2">
        <v>2024</v>
      </c>
      <c r="M48" t="s">
        <v>25</v>
      </c>
      <c r="N48" t="s">
        <v>68</v>
      </c>
      <c r="O48" t="s">
        <v>76</v>
      </c>
      <c r="P48">
        <v>7181</v>
      </c>
      <c r="Q48">
        <v>6</v>
      </c>
      <c r="R48" s="4">
        <f>(P48*(1+Q48/100))</f>
        <v>7611.8600000000006</v>
      </c>
    </row>
    <row r="49" spans="1:18" x14ac:dyDescent="0.3">
      <c r="A49" t="s">
        <v>21</v>
      </c>
      <c r="B49" t="s">
        <v>22</v>
      </c>
      <c r="C49" t="s">
        <v>35</v>
      </c>
      <c r="D49" t="s">
        <v>44</v>
      </c>
      <c r="E49" t="str">
        <f>IF(F49&lt;5,"Beginner",IF(F49&lt;=10,"Mid-Level","Senior"))</f>
        <v>Senior</v>
      </c>
      <c r="F49" s="2">
        <v>19</v>
      </c>
      <c r="G49" t="s">
        <v>52</v>
      </c>
      <c r="H49" t="s">
        <v>117</v>
      </c>
      <c r="I49" s="2" t="s">
        <v>118</v>
      </c>
      <c r="J49" s="2" t="s">
        <v>119</v>
      </c>
      <c r="K49" s="2">
        <v>3</v>
      </c>
      <c r="L49" s="2">
        <v>2021</v>
      </c>
      <c r="M49" t="s">
        <v>24</v>
      </c>
      <c r="N49" t="s">
        <v>64</v>
      </c>
      <c r="O49" t="s">
        <v>73</v>
      </c>
      <c r="P49">
        <v>10952</v>
      </c>
      <c r="Q49">
        <v>13</v>
      </c>
      <c r="R49" s="4">
        <f>(P49*(1+Q49/100))</f>
        <v>12375.759999999998</v>
      </c>
    </row>
    <row r="50" spans="1:18" x14ac:dyDescent="0.3">
      <c r="A50" t="s">
        <v>21</v>
      </c>
      <c r="B50" t="s">
        <v>28</v>
      </c>
      <c r="C50" t="s">
        <v>37</v>
      </c>
      <c r="D50" t="s">
        <v>49</v>
      </c>
      <c r="E50" t="str">
        <f>IF(F50&lt;5,"Beginner",IF(F50&lt;=10,"Mid-Level","Senior"))</f>
        <v>Mid-Level</v>
      </c>
      <c r="F50" s="2">
        <v>7</v>
      </c>
      <c r="G50" t="s">
        <v>53</v>
      </c>
      <c r="H50" t="s">
        <v>117</v>
      </c>
      <c r="I50" s="2" t="s">
        <v>118</v>
      </c>
      <c r="J50" s="2" t="s">
        <v>119</v>
      </c>
      <c r="K50" s="2">
        <v>3</v>
      </c>
      <c r="L50" s="2">
        <v>2025</v>
      </c>
      <c r="M50" t="s">
        <v>26</v>
      </c>
      <c r="N50" t="s">
        <v>67</v>
      </c>
      <c r="O50" t="s">
        <v>73</v>
      </c>
      <c r="P50">
        <v>11808</v>
      </c>
      <c r="Q50">
        <v>7</v>
      </c>
      <c r="R50" s="4">
        <f>(P50*(1+Q50/100))</f>
        <v>12634.560000000001</v>
      </c>
    </row>
    <row r="51" spans="1:18" x14ac:dyDescent="0.3">
      <c r="A51" t="s">
        <v>21</v>
      </c>
      <c r="B51" t="s">
        <v>24</v>
      </c>
      <c r="C51" t="s">
        <v>37</v>
      </c>
      <c r="D51" t="s">
        <v>42</v>
      </c>
      <c r="E51" t="str">
        <f>IF(F51&lt;5,"Beginner",IF(F51&lt;=10,"Mid-Level","Senior"))</f>
        <v>Beginner</v>
      </c>
      <c r="F51" s="2">
        <v>3</v>
      </c>
      <c r="G51" t="s">
        <v>59</v>
      </c>
      <c r="H51" t="s">
        <v>117</v>
      </c>
      <c r="I51" s="2" t="s">
        <v>118</v>
      </c>
      <c r="J51" s="2" t="s">
        <v>119</v>
      </c>
      <c r="K51" s="2">
        <v>3</v>
      </c>
      <c r="L51" s="2">
        <v>2020</v>
      </c>
      <c r="M51" t="s">
        <v>31</v>
      </c>
      <c r="N51" t="s">
        <v>70</v>
      </c>
      <c r="O51" t="s">
        <v>73</v>
      </c>
      <c r="P51">
        <v>10927</v>
      </c>
      <c r="Q51">
        <v>11</v>
      </c>
      <c r="R51" s="4">
        <f>(P51*(1+Q51/100))</f>
        <v>12128.970000000001</v>
      </c>
    </row>
    <row r="52" spans="1:18" x14ac:dyDescent="0.3">
      <c r="A52" t="s">
        <v>21</v>
      </c>
      <c r="B52" t="s">
        <v>30</v>
      </c>
      <c r="C52" t="s">
        <v>40</v>
      </c>
      <c r="D52" t="s">
        <v>42</v>
      </c>
      <c r="E52" t="str">
        <f>IF(F52&lt;5,"Beginner",IF(F52&lt;=10,"Mid-Level","Senior"))</f>
        <v>Senior</v>
      </c>
      <c r="F52" s="2">
        <v>14</v>
      </c>
      <c r="G52" t="s">
        <v>58</v>
      </c>
      <c r="H52" t="s">
        <v>117</v>
      </c>
      <c r="I52" s="2" t="s">
        <v>118</v>
      </c>
      <c r="J52" s="2" t="s">
        <v>119</v>
      </c>
      <c r="K52" s="2">
        <v>3</v>
      </c>
      <c r="L52" s="2">
        <v>2015</v>
      </c>
      <c r="M52" t="s">
        <v>29</v>
      </c>
      <c r="N52" t="s">
        <v>65</v>
      </c>
      <c r="O52" t="s">
        <v>75</v>
      </c>
      <c r="P52">
        <v>12111</v>
      </c>
      <c r="Q52">
        <v>9</v>
      </c>
      <c r="R52" s="4">
        <f>(P52*(1+Q52/100))</f>
        <v>13200.990000000002</v>
      </c>
    </row>
    <row r="53" spans="1:18" x14ac:dyDescent="0.3">
      <c r="A53" t="s">
        <v>21</v>
      </c>
      <c r="B53" t="s">
        <v>22</v>
      </c>
      <c r="C53" t="s">
        <v>36</v>
      </c>
      <c r="D53" t="s">
        <v>50</v>
      </c>
      <c r="E53" t="str">
        <f>IF(F53&lt;5,"Beginner",IF(F53&lt;=10,"Mid-Level","Senior"))</f>
        <v>Senior</v>
      </c>
      <c r="F53" s="2">
        <v>17</v>
      </c>
      <c r="G53" t="s">
        <v>57</v>
      </c>
      <c r="H53" t="s">
        <v>117</v>
      </c>
      <c r="I53" s="2" t="s">
        <v>118</v>
      </c>
      <c r="J53" s="2" t="s">
        <v>119</v>
      </c>
      <c r="K53" s="2">
        <v>3</v>
      </c>
      <c r="L53" s="2">
        <v>2023</v>
      </c>
      <c r="M53" t="s">
        <v>31</v>
      </c>
      <c r="N53" t="s">
        <v>70</v>
      </c>
      <c r="O53" t="s">
        <v>75</v>
      </c>
      <c r="P53">
        <v>9555</v>
      </c>
      <c r="Q53">
        <v>7</v>
      </c>
      <c r="R53" s="4">
        <f>(P53*(1+Q53/100))</f>
        <v>10223.85</v>
      </c>
    </row>
    <row r="54" spans="1:18" x14ac:dyDescent="0.3">
      <c r="A54" t="s">
        <v>21</v>
      </c>
      <c r="B54" t="s">
        <v>25</v>
      </c>
      <c r="C54" t="s">
        <v>5</v>
      </c>
      <c r="D54" t="s">
        <v>44</v>
      </c>
      <c r="E54" t="str">
        <f>IF(F54&lt;5,"Beginner",IF(F54&lt;=10,"Mid-Level","Senior"))</f>
        <v>Senior</v>
      </c>
      <c r="F54" s="2">
        <v>13</v>
      </c>
      <c r="G54" t="s">
        <v>57</v>
      </c>
      <c r="H54" t="s">
        <v>117</v>
      </c>
      <c r="I54" s="2" t="s">
        <v>118</v>
      </c>
      <c r="J54" s="2" t="s">
        <v>119</v>
      </c>
      <c r="K54" s="2">
        <v>3</v>
      </c>
      <c r="L54" s="2">
        <v>2016</v>
      </c>
      <c r="M54" t="s">
        <v>28</v>
      </c>
      <c r="N54" t="s">
        <v>63</v>
      </c>
      <c r="O54" t="s">
        <v>73</v>
      </c>
      <c r="P54">
        <v>10075</v>
      </c>
      <c r="Q54">
        <v>7</v>
      </c>
      <c r="R54" s="4">
        <f>(P54*(1+Q54/100))</f>
        <v>10780.25</v>
      </c>
    </row>
    <row r="55" spans="1:18" x14ac:dyDescent="0.3">
      <c r="A55" t="s">
        <v>21</v>
      </c>
      <c r="B55" t="s">
        <v>22</v>
      </c>
      <c r="C55" t="s">
        <v>34</v>
      </c>
      <c r="D55" t="s">
        <v>47</v>
      </c>
      <c r="E55" t="str">
        <f>IF(F55&lt;5,"Beginner",IF(F55&lt;=10,"Mid-Level","Senior"))</f>
        <v>Mid-Level</v>
      </c>
      <c r="F55" s="2">
        <v>10</v>
      </c>
      <c r="G55" t="s">
        <v>58</v>
      </c>
      <c r="H55" t="s">
        <v>117</v>
      </c>
      <c r="I55" s="2" t="s">
        <v>118</v>
      </c>
      <c r="J55" s="2" t="s">
        <v>119</v>
      </c>
      <c r="K55" s="2">
        <v>3</v>
      </c>
      <c r="L55" s="2">
        <v>2021</v>
      </c>
      <c r="M55" t="s">
        <v>30</v>
      </c>
      <c r="N55" t="s">
        <v>71</v>
      </c>
      <c r="O55" t="s">
        <v>73</v>
      </c>
      <c r="P55">
        <v>8365</v>
      </c>
      <c r="Q55">
        <v>12</v>
      </c>
      <c r="R55" s="4">
        <f>(P55*(1+Q55/100))</f>
        <v>9368.8000000000011</v>
      </c>
    </row>
    <row r="56" spans="1:18" x14ac:dyDescent="0.3">
      <c r="A56" t="s">
        <v>21</v>
      </c>
      <c r="B56" t="s">
        <v>27</v>
      </c>
      <c r="C56" t="s">
        <v>40</v>
      </c>
      <c r="D56" t="s">
        <v>44</v>
      </c>
      <c r="E56" t="str">
        <f>IF(F56&lt;5,"Beginner",IF(F56&lt;=10,"Mid-Level","Senior"))</f>
        <v>Senior</v>
      </c>
      <c r="F56" s="2">
        <v>18</v>
      </c>
      <c r="G56" t="s">
        <v>56</v>
      </c>
      <c r="H56" t="s">
        <v>117</v>
      </c>
      <c r="I56" s="2" t="s">
        <v>118</v>
      </c>
      <c r="J56" s="2" t="s">
        <v>119</v>
      </c>
      <c r="K56" s="2">
        <v>3</v>
      </c>
      <c r="L56" s="2">
        <v>2025</v>
      </c>
      <c r="M56" t="s">
        <v>27</v>
      </c>
      <c r="N56" t="s">
        <v>70</v>
      </c>
      <c r="O56" t="s">
        <v>74</v>
      </c>
      <c r="P56">
        <v>12590</v>
      </c>
      <c r="Q56">
        <v>14</v>
      </c>
      <c r="R56" s="4">
        <f>(P56*(1+Q56/100))</f>
        <v>14352.600000000002</v>
      </c>
    </row>
    <row r="57" spans="1:18" x14ac:dyDescent="0.3">
      <c r="A57" t="s">
        <v>21</v>
      </c>
      <c r="B57" t="s">
        <v>23</v>
      </c>
      <c r="C57" t="s">
        <v>32</v>
      </c>
      <c r="D57" t="s">
        <v>49</v>
      </c>
      <c r="E57" t="str">
        <f>IF(F57&lt;5,"Beginner",IF(F57&lt;=10,"Mid-Level","Senior"))</f>
        <v>Mid-Level</v>
      </c>
      <c r="F57" s="2">
        <v>8</v>
      </c>
      <c r="G57" t="s">
        <v>52</v>
      </c>
      <c r="H57" t="s">
        <v>117</v>
      </c>
      <c r="I57" s="2" t="s">
        <v>118</v>
      </c>
      <c r="J57" s="2" t="s">
        <v>119</v>
      </c>
      <c r="K57" s="2">
        <v>3</v>
      </c>
      <c r="L57" s="2">
        <v>2010</v>
      </c>
      <c r="M57" t="s">
        <v>26</v>
      </c>
      <c r="N57" t="s">
        <v>70</v>
      </c>
      <c r="O57" t="s">
        <v>74</v>
      </c>
      <c r="P57">
        <v>9789</v>
      </c>
      <c r="Q57">
        <v>7</v>
      </c>
      <c r="R57" s="4">
        <f>(P57*(1+Q57/100))</f>
        <v>10474.230000000001</v>
      </c>
    </row>
    <row r="58" spans="1:18" x14ac:dyDescent="0.3">
      <c r="A58" t="s">
        <v>21</v>
      </c>
      <c r="B58" t="s">
        <v>25</v>
      </c>
      <c r="C58" t="s">
        <v>37</v>
      </c>
      <c r="D58" t="s">
        <v>47</v>
      </c>
      <c r="E58" t="str">
        <f>IF(F58&lt;5,"Beginner",IF(F58&lt;=10,"Mid-Level","Senior"))</f>
        <v>Senior</v>
      </c>
      <c r="F58" s="2">
        <v>14</v>
      </c>
      <c r="G58" t="s">
        <v>51</v>
      </c>
      <c r="H58" t="s">
        <v>117</v>
      </c>
      <c r="I58" s="2" t="s">
        <v>118</v>
      </c>
      <c r="J58" s="2" t="s">
        <v>119</v>
      </c>
      <c r="K58" s="2">
        <v>3</v>
      </c>
      <c r="L58" s="2">
        <v>2020</v>
      </c>
      <c r="M58" t="s">
        <v>26</v>
      </c>
      <c r="N58" t="s">
        <v>63</v>
      </c>
      <c r="O58" t="s">
        <v>74</v>
      </c>
      <c r="P58">
        <v>7661</v>
      </c>
      <c r="Q58">
        <v>10</v>
      </c>
      <c r="R58" s="4">
        <f>(P58*(1+Q58/100))</f>
        <v>8427.1</v>
      </c>
    </row>
    <row r="59" spans="1:18" x14ac:dyDescent="0.3">
      <c r="A59" t="s">
        <v>21</v>
      </c>
      <c r="B59" t="s">
        <v>27</v>
      </c>
      <c r="C59" t="s">
        <v>37</v>
      </c>
      <c r="D59" t="s">
        <v>46</v>
      </c>
      <c r="E59" t="str">
        <f>IF(F59&lt;5,"Beginner",IF(F59&lt;=10,"Mid-Level","Senior"))</f>
        <v>Senior</v>
      </c>
      <c r="F59" s="2">
        <v>18</v>
      </c>
      <c r="G59" t="s">
        <v>55</v>
      </c>
      <c r="H59" t="s">
        <v>117</v>
      </c>
      <c r="I59" s="2" t="s">
        <v>118</v>
      </c>
      <c r="J59" s="2" t="s">
        <v>119</v>
      </c>
      <c r="K59" s="2">
        <v>3</v>
      </c>
      <c r="L59" s="2">
        <v>2021</v>
      </c>
      <c r="M59" t="s">
        <v>28</v>
      </c>
      <c r="N59" t="s">
        <v>70</v>
      </c>
      <c r="O59" t="s">
        <v>75</v>
      </c>
      <c r="P59">
        <v>11894</v>
      </c>
      <c r="Q59">
        <v>8</v>
      </c>
      <c r="R59" s="4">
        <f>(P59*(1+Q59/100))</f>
        <v>12845.52</v>
      </c>
    </row>
    <row r="60" spans="1:18" x14ac:dyDescent="0.3">
      <c r="A60" t="s">
        <v>21</v>
      </c>
      <c r="B60" t="s">
        <v>23</v>
      </c>
      <c r="C60" t="s">
        <v>36</v>
      </c>
      <c r="D60" t="s">
        <v>49</v>
      </c>
      <c r="E60" t="str">
        <f>IF(F60&lt;5,"Beginner",IF(F60&lt;=10,"Mid-Level","Senior"))</f>
        <v>Senior</v>
      </c>
      <c r="F60" s="2">
        <v>19</v>
      </c>
      <c r="G60" t="s">
        <v>57</v>
      </c>
      <c r="H60" t="s">
        <v>117</v>
      </c>
      <c r="I60" s="2" t="s">
        <v>118</v>
      </c>
      <c r="J60" s="2" t="s">
        <v>119</v>
      </c>
      <c r="K60" s="2">
        <v>3</v>
      </c>
      <c r="L60" s="2">
        <v>2017</v>
      </c>
      <c r="M60" t="s">
        <v>24</v>
      </c>
      <c r="N60" t="s">
        <v>67</v>
      </c>
      <c r="O60" t="s">
        <v>76</v>
      </c>
      <c r="P60">
        <v>6606</v>
      </c>
      <c r="Q60">
        <v>9</v>
      </c>
      <c r="R60" s="4">
        <f>(P60*(1+Q60/100))</f>
        <v>7200.5400000000009</v>
      </c>
    </row>
    <row r="61" spans="1:18" x14ac:dyDescent="0.3">
      <c r="A61" t="s">
        <v>21</v>
      </c>
      <c r="B61" t="s">
        <v>27</v>
      </c>
      <c r="C61" t="s">
        <v>36</v>
      </c>
      <c r="D61" t="s">
        <v>43</v>
      </c>
      <c r="E61" t="str">
        <f>IF(F61&lt;5,"Beginner",IF(F61&lt;=10,"Mid-Level","Senior"))</f>
        <v>Senior</v>
      </c>
      <c r="F61" s="2">
        <v>18</v>
      </c>
      <c r="G61" t="s">
        <v>56</v>
      </c>
      <c r="H61" t="s">
        <v>117</v>
      </c>
      <c r="I61" s="2" t="s">
        <v>118</v>
      </c>
      <c r="J61" s="2" t="s">
        <v>119</v>
      </c>
      <c r="K61" s="2">
        <v>3</v>
      </c>
      <c r="L61" s="2">
        <v>2019</v>
      </c>
      <c r="M61" t="s">
        <v>22</v>
      </c>
      <c r="N61" t="s">
        <v>69</v>
      </c>
      <c r="O61" t="s">
        <v>76</v>
      </c>
      <c r="P61">
        <v>7751</v>
      </c>
      <c r="Q61">
        <v>7</v>
      </c>
      <c r="R61" s="4">
        <f>(P61*(1+Q61/100))</f>
        <v>8293.57</v>
      </c>
    </row>
    <row r="62" spans="1:18" x14ac:dyDescent="0.3">
      <c r="A62" t="s">
        <v>21</v>
      </c>
      <c r="B62" t="s">
        <v>27</v>
      </c>
      <c r="C62" t="s">
        <v>39</v>
      </c>
      <c r="D62" t="s">
        <v>47</v>
      </c>
      <c r="E62" t="str">
        <f>IF(F62&lt;5,"Beginner",IF(F62&lt;=10,"Mid-Level","Senior"))</f>
        <v>Senior</v>
      </c>
      <c r="F62" s="2">
        <v>18</v>
      </c>
      <c r="G62" t="s">
        <v>53</v>
      </c>
      <c r="H62" t="s">
        <v>117</v>
      </c>
      <c r="I62" s="2" t="s">
        <v>118</v>
      </c>
      <c r="J62" s="2" t="s">
        <v>119</v>
      </c>
      <c r="K62" s="2">
        <v>3</v>
      </c>
      <c r="L62" s="2">
        <v>2025</v>
      </c>
      <c r="M62" t="s">
        <v>29</v>
      </c>
      <c r="N62" t="s">
        <v>64</v>
      </c>
      <c r="O62" t="s">
        <v>74</v>
      </c>
      <c r="P62">
        <v>10382</v>
      </c>
      <c r="Q62">
        <v>10</v>
      </c>
      <c r="R62" s="4">
        <f>(P62*(1+Q62/100))</f>
        <v>11420.2</v>
      </c>
    </row>
    <row r="63" spans="1:18" x14ac:dyDescent="0.3">
      <c r="A63" t="s">
        <v>21</v>
      </c>
      <c r="B63" t="s">
        <v>30</v>
      </c>
      <c r="C63" t="s">
        <v>33</v>
      </c>
      <c r="D63" t="s">
        <v>45</v>
      </c>
      <c r="E63" t="str">
        <f>IF(F63&lt;5,"Beginner",IF(F63&lt;=10,"Mid-Level","Senior"))</f>
        <v>Mid-Level</v>
      </c>
      <c r="F63" s="2">
        <v>6</v>
      </c>
      <c r="G63" t="s">
        <v>54</v>
      </c>
      <c r="H63" t="s">
        <v>117</v>
      </c>
      <c r="I63" s="2" t="s">
        <v>118</v>
      </c>
      <c r="J63" s="2" t="s">
        <v>119</v>
      </c>
      <c r="K63" s="2">
        <v>3</v>
      </c>
      <c r="L63" s="2">
        <v>2022</v>
      </c>
      <c r="M63" t="s">
        <v>26</v>
      </c>
      <c r="N63" t="s">
        <v>63</v>
      </c>
      <c r="O63" t="s">
        <v>76</v>
      </c>
      <c r="P63">
        <v>7028</v>
      </c>
      <c r="Q63">
        <v>8</v>
      </c>
      <c r="R63" s="4">
        <f>(P63*(1+Q63/100))</f>
        <v>7590.2400000000007</v>
      </c>
    </row>
    <row r="64" spans="1:18" x14ac:dyDescent="0.3">
      <c r="A64" t="s">
        <v>21</v>
      </c>
      <c r="B64" t="s">
        <v>27</v>
      </c>
      <c r="C64" t="s">
        <v>33</v>
      </c>
      <c r="D64" t="s">
        <v>49</v>
      </c>
      <c r="E64" t="str">
        <f>IF(F64&lt;5,"Beginner",IF(F64&lt;=10,"Mid-Level","Senior"))</f>
        <v>Senior</v>
      </c>
      <c r="F64" s="2">
        <v>14</v>
      </c>
      <c r="G64" t="s">
        <v>53</v>
      </c>
      <c r="H64" t="s">
        <v>117</v>
      </c>
      <c r="I64" s="2" t="s">
        <v>118</v>
      </c>
      <c r="J64" s="2" t="s">
        <v>119</v>
      </c>
      <c r="K64" s="2">
        <v>3</v>
      </c>
      <c r="L64" s="2">
        <v>2013</v>
      </c>
      <c r="M64" t="s">
        <v>30</v>
      </c>
      <c r="N64" t="s">
        <v>65</v>
      </c>
      <c r="O64" t="s">
        <v>75</v>
      </c>
      <c r="P64">
        <v>7633</v>
      </c>
      <c r="Q64">
        <v>12</v>
      </c>
      <c r="R64" s="4">
        <f>(P64*(1+Q64/100))</f>
        <v>8548.9600000000009</v>
      </c>
    </row>
    <row r="65" spans="1:18" x14ac:dyDescent="0.3">
      <c r="A65" t="s">
        <v>21</v>
      </c>
      <c r="B65" t="s">
        <v>25</v>
      </c>
      <c r="C65" t="s">
        <v>38</v>
      </c>
      <c r="D65" t="s">
        <v>44</v>
      </c>
      <c r="E65" t="str">
        <f>IF(F65&lt;5,"Beginner",IF(F65&lt;=10,"Mid-Level","Senior"))</f>
        <v>Mid-Level</v>
      </c>
      <c r="F65" s="2">
        <v>6</v>
      </c>
      <c r="G65" t="s">
        <v>52</v>
      </c>
      <c r="H65" t="s">
        <v>117</v>
      </c>
      <c r="I65" s="2" t="s">
        <v>118</v>
      </c>
      <c r="J65" s="2" t="s">
        <v>119</v>
      </c>
      <c r="K65" s="2">
        <v>3</v>
      </c>
      <c r="L65" s="2">
        <v>2024</v>
      </c>
      <c r="M65" t="s">
        <v>22</v>
      </c>
      <c r="N65" t="s">
        <v>71</v>
      </c>
      <c r="O65" t="s">
        <v>77</v>
      </c>
      <c r="P65">
        <v>6977</v>
      </c>
      <c r="Q65">
        <v>10</v>
      </c>
      <c r="R65" s="4">
        <f>(P65*(1+Q65/100))</f>
        <v>7674.7000000000007</v>
      </c>
    </row>
    <row r="66" spans="1:18" x14ac:dyDescent="0.3">
      <c r="A66" t="s">
        <v>21</v>
      </c>
      <c r="B66" t="s">
        <v>24</v>
      </c>
      <c r="C66" t="s">
        <v>39</v>
      </c>
      <c r="D66" t="s">
        <v>44</v>
      </c>
      <c r="E66" t="str">
        <f>IF(F66&lt;5,"Beginner",IF(F66&lt;=10,"Mid-Level","Senior"))</f>
        <v>Mid-Level</v>
      </c>
      <c r="F66" s="2">
        <v>7</v>
      </c>
      <c r="G66" t="s">
        <v>55</v>
      </c>
      <c r="H66" t="s">
        <v>117</v>
      </c>
      <c r="I66" s="2" t="s">
        <v>118</v>
      </c>
      <c r="J66" s="2" t="s">
        <v>119</v>
      </c>
      <c r="K66" s="2">
        <v>3</v>
      </c>
      <c r="L66" s="2">
        <v>2025</v>
      </c>
      <c r="M66" t="s">
        <v>24</v>
      </c>
      <c r="N66" t="s">
        <v>64</v>
      </c>
      <c r="O66" t="s">
        <v>76</v>
      </c>
      <c r="P66">
        <v>10025</v>
      </c>
      <c r="Q66">
        <v>12</v>
      </c>
      <c r="R66" s="4">
        <f>(P66*(1+Q66/100))</f>
        <v>11228.000000000002</v>
      </c>
    </row>
    <row r="67" spans="1:18" x14ac:dyDescent="0.3">
      <c r="A67" t="s">
        <v>21</v>
      </c>
      <c r="B67" t="s">
        <v>23</v>
      </c>
      <c r="C67" t="s">
        <v>34</v>
      </c>
      <c r="D67" t="s">
        <v>42</v>
      </c>
      <c r="E67" t="str">
        <f>IF(F67&lt;5,"Beginner",IF(F67&lt;=10,"Mid-Level","Senior"))</f>
        <v>Senior</v>
      </c>
      <c r="F67" s="2">
        <v>17</v>
      </c>
      <c r="G67" t="s">
        <v>56</v>
      </c>
      <c r="H67" t="s">
        <v>117</v>
      </c>
      <c r="I67" s="2" t="s">
        <v>118</v>
      </c>
      <c r="J67" s="2" t="s">
        <v>119</v>
      </c>
      <c r="K67" s="2">
        <v>3</v>
      </c>
      <c r="L67" s="2">
        <v>2023</v>
      </c>
      <c r="M67" t="s">
        <v>31</v>
      </c>
      <c r="N67" t="s">
        <v>67</v>
      </c>
      <c r="O67" t="s">
        <v>74</v>
      </c>
      <c r="P67">
        <v>8454</v>
      </c>
      <c r="Q67">
        <v>11</v>
      </c>
      <c r="R67" s="4">
        <f>(P67*(1+Q67/100))</f>
        <v>9383.94</v>
      </c>
    </row>
    <row r="68" spans="1:18" x14ac:dyDescent="0.3">
      <c r="A68" t="s">
        <v>21</v>
      </c>
      <c r="B68" t="s">
        <v>31</v>
      </c>
      <c r="C68" t="s">
        <v>37</v>
      </c>
      <c r="D68" t="s">
        <v>41</v>
      </c>
      <c r="E68" t="str">
        <f>IF(F68&lt;5,"Beginner",IF(F68&lt;=10,"Mid-Level","Senior"))</f>
        <v>Beginner</v>
      </c>
      <c r="F68" s="2">
        <v>4</v>
      </c>
      <c r="G68" t="s">
        <v>55</v>
      </c>
      <c r="H68" t="s">
        <v>117</v>
      </c>
      <c r="I68" s="2" t="s">
        <v>118</v>
      </c>
      <c r="J68" s="2" t="s">
        <v>119</v>
      </c>
      <c r="K68" s="2">
        <v>3</v>
      </c>
      <c r="L68" s="2">
        <v>2013</v>
      </c>
      <c r="M68" t="s">
        <v>26</v>
      </c>
      <c r="N68" t="s">
        <v>71</v>
      </c>
      <c r="O68" t="s">
        <v>73</v>
      </c>
      <c r="P68">
        <v>7857</v>
      </c>
      <c r="Q68">
        <v>7</v>
      </c>
      <c r="R68" s="4">
        <f>(P68*(1+Q68/100))</f>
        <v>8406.99</v>
      </c>
    </row>
    <row r="69" spans="1:18" x14ac:dyDescent="0.3">
      <c r="A69" t="s">
        <v>21</v>
      </c>
      <c r="B69" t="s">
        <v>23</v>
      </c>
      <c r="C69" t="s">
        <v>39</v>
      </c>
      <c r="D69" t="s">
        <v>47</v>
      </c>
      <c r="E69" t="str">
        <f>IF(F69&lt;5,"Beginner",IF(F69&lt;=10,"Mid-Level","Senior"))</f>
        <v>Senior</v>
      </c>
      <c r="F69" s="2">
        <v>11</v>
      </c>
      <c r="G69" t="s">
        <v>57</v>
      </c>
      <c r="H69" t="s">
        <v>117</v>
      </c>
      <c r="I69" s="2" t="s">
        <v>118</v>
      </c>
      <c r="J69" s="2" t="s">
        <v>119</v>
      </c>
      <c r="K69" s="2">
        <v>3</v>
      </c>
      <c r="L69" s="2">
        <v>2023</v>
      </c>
      <c r="M69" t="s">
        <v>31</v>
      </c>
      <c r="N69" t="s">
        <v>63</v>
      </c>
      <c r="O69" t="s">
        <v>76</v>
      </c>
      <c r="P69">
        <v>9384</v>
      </c>
      <c r="Q69">
        <v>14</v>
      </c>
      <c r="R69" s="4">
        <f>(P69*(1+Q69/100))</f>
        <v>10697.760000000002</v>
      </c>
    </row>
    <row r="70" spans="1:18" x14ac:dyDescent="0.3">
      <c r="A70" t="s">
        <v>21</v>
      </c>
      <c r="B70" t="s">
        <v>31</v>
      </c>
      <c r="C70" t="s">
        <v>32</v>
      </c>
      <c r="D70" t="s">
        <v>44</v>
      </c>
      <c r="E70" t="str">
        <f>IF(F70&lt;5,"Beginner",IF(F70&lt;=10,"Mid-Level","Senior"))</f>
        <v>Senior</v>
      </c>
      <c r="F70" s="2">
        <v>15</v>
      </c>
      <c r="G70" t="s">
        <v>52</v>
      </c>
      <c r="H70" t="s">
        <v>117</v>
      </c>
      <c r="I70" s="2" t="s">
        <v>118</v>
      </c>
      <c r="J70" s="2" t="s">
        <v>119</v>
      </c>
      <c r="K70" s="2">
        <v>3</v>
      </c>
      <c r="L70" s="2">
        <v>2024</v>
      </c>
      <c r="M70" t="s">
        <v>22</v>
      </c>
      <c r="N70" t="s">
        <v>64</v>
      </c>
      <c r="O70" t="s">
        <v>77</v>
      </c>
      <c r="P70">
        <v>8731</v>
      </c>
      <c r="Q70">
        <v>11</v>
      </c>
      <c r="R70" s="4">
        <f>(P70*(1+Q70/100))</f>
        <v>9691.4100000000017</v>
      </c>
    </row>
    <row r="71" spans="1:18" x14ac:dyDescent="0.3">
      <c r="A71" t="s">
        <v>21</v>
      </c>
      <c r="B71" t="s">
        <v>29</v>
      </c>
      <c r="C71" t="s">
        <v>35</v>
      </c>
      <c r="D71" t="s">
        <v>49</v>
      </c>
      <c r="E71" t="str">
        <f>IF(F71&lt;5,"Beginner",IF(F71&lt;=10,"Mid-Level","Senior"))</f>
        <v>Senior</v>
      </c>
      <c r="F71" s="2">
        <v>15</v>
      </c>
      <c r="G71" t="s">
        <v>59</v>
      </c>
      <c r="H71" t="s">
        <v>117</v>
      </c>
      <c r="I71" s="2" t="s">
        <v>118</v>
      </c>
      <c r="J71" s="2" t="s">
        <v>119</v>
      </c>
      <c r="K71" s="2">
        <v>3</v>
      </c>
      <c r="L71" s="2">
        <v>2021</v>
      </c>
      <c r="M71" t="s">
        <v>25</v>
      </c>
      <c r="N71" t="s">
        <v>71</v>
      </c>
      <c r="O71" t="s">
        <v>74</v>
      </c>
      <c r="P71">
        <v>6857</v>
      </c>
      <c r="Q71">
        <v>6</v>
      </c>
      <c r="R71" s="4">
        <f>(P71*(1+Q71/100))</f>
        <v>7268.42</v>
      </c>
    </row>
    <row r="72" spans="1:18" x14ac:dyDescent="0.3">
      <c r="A72" t="s">
        <v>16</v>
      </c>
      <c r="B72" t="s">
        <v>27</v>
      </c>
      <c r="C72" t="s">
        <v>32</v>
      </c>
      <c r="D72" t="s">
        <v>44</v>
      </c>
      <c r="E72" t="str">
        <f>IF(F72&lt;5,"Beginner",IF(F72&lt;=10,"Mid-Level","Senior"))</f>
        <v>Senior</v>
      </c>
      <c r="F72" s="2">
        <v>11</v>
      </c>
      <c r="G72" t="s">
        <v>51</v>
      </c>
      <c r="H72" t="s">
        <v>103</v>
      </c>
      <c r="I72" s="2" t="s">
        <v>104</v>
      </c>
      <c r="J72" s="2" t="s">
        <v>105</v>
      </c>
      <c r="K72" s="2">
        <v>3</v>
      </c>
      <c r="L72" s="2">
        <v>2015</v>
      </c>
      <c r="M72" t="s">
        <v>31</v>
      </c>
      <c r="N72" t="s">
        <v>65</v>
      </c>
      <c r="O72" t="s">
        <v>76</v>
      </c>
      <c r="P72">
        <v>8084</v>
      </c>
      <c r="Q72">
        <v>6</v>
      </c>
      <c r="R72" s="4">
        <f>(P72*(1+Q72/100))</f>
        <v>8569.0400000000009</v>
      </c>
    </row>
    <row r="73" spans="1:18" x14ac:dyDescent="0.3">
      <c r="A73" t="s">
        <v>16</v>
      </c>
      <c r="B73" t="s">
        <v>30</v>
      </c>
      <c r="C73" t="s">
        <v>38</v>
      </c>
      <c r="D73" t="s">
        <v>42</v>
      </c>
      <c r="E73" t="str">
        <f>IF(F73&lt;5,"Beginner",IF(F73&lt;=10,"Mid-Level","Senior"))</f>
        <v>Senior</v>
      </c>
      <c r="F73" s="2">
        <v>17</v>
      </c>
      <c r="G73" t="s">
        <v>51</v>
      </c>
      <c r="H73" t="s">
        <v>103</v>
      </c>
      <c r="I73" s="2" t="s">
        <v>104</v>
      </c>
      <c r="J73" s="2" t="s">
        <v>105</v>
      </c>
      <c r="K73" s="2">
        <v>3</v>
      </c>
      <c r="L73" s="2">
        <v>2013</v>
      </c>
      <c r="M73" t="s">
        <v>25</v>
      </c>
      <c r="N73" t="s">
        <v>68</v>
      </c>
      <c r="O73" t="s">
        <v>76</v>
      </c>
      <c r="P73">
        <v>8301</v>
      </c>
      <c r="Q73">
        <v>5</v>
      </c>
      <c r="R73" s="4">
        <f>(P73*(1+Q73/100))</f>
        <v>8716.0500000000011</v>
      </c>
    </row>
    <row r="74" spans="1:18" x14ac:dyDescent="0.3">
      <c r="A74" t="s">
        <v>16</v>
      </c>
      <c r="B74" t="s">
        <v>27</v>
      </c>
      <c r="C74" t="s">
        <v>32</v>
      </c>
      <c r="D74" t="s">
        <v>44</v>
      </c>
      <c r="E74" t="str">
        <f>IF(F74&lt;5,"Beginner",IF(F74&lt;=10,"Mid-Level","Senior"))</f>
        <v>Senior</v>
      </c>
      <c r="F74" s="2">
        <v>13</v>
      </c>
      <c r="G74" t="s">
        <v>59</v>
      </c>
      <c r="H74" t="s">
        <v>103</v>
      </c>
      <c r="I74" s="2" t="s">
        <v>104</v>
      </c>
      <c r="J74" s="2" t="s">
        <v>105</v>
      </c>
      <c r="K74" s="2">
        <v>3</v>
      </c>
      <c r="L74" s="2">
        <v>2018</v>
      </c>
      <c r="M74" t="s">
        <v>23</v>
      </c>
      <c r="N74" t="s">
        <v>68</v>
      </c>
      <c r="O74" t="s">
        <v>74</v>
      </c>
      <c r="P74">
        <v>9804</v>
      </c>
      <c r="Q74">
        <v>12</v>
      </c>
      <c r="R74" s="4">
        <f>(P74*(1+Q74/100))</f>
        <v>10980.480000000001</v>
      </c>
    </row>
    <row r="75" spans="1:18" x14ac:dyDescent="0.3">
      <c r="A75" t="s">
        <v>16</v>
      </c>
      <c r="B75" t="s">
        <v>24</v>
      </c>
      <c r="C75" t="s">
        <v>37</v>
      </c>
      <c r="D75" t="s">
        <v>49</v>
      </c>
      <c r="E75" t="str">
        <f>IF(F75&lt;5,"Beginner",IF(F75&lt;=10,"Mid-Level","Senior"))</f>
        <v>Beginner</v>
      </c>
      <c r="F75" s="2">
        <v>2</v>
      </c>
      <c r="G75" t="s">
        <v>52</v>
      </c>
      <c r="H75" t="s">
        <v>103</v>
      </c>
      <c r="I75" s="2" t="s">
        <v>104</v>
      </c>
      <c r="J75" s="2" t="s">
        <v>105</v>
      </c>
      <c r="K75" s="2">
        <v>3</v>
      </c>
      <c r="L75" s="2">
        <v>2020</v>
      </c>
      <c r="M75" t="s">
        <v>23</v>
      </c>
      <c r="N75" t="s">
        <v>69</v>
      </c>
      <c r="O75" t="s">
        <v>74</v>
      </c>
      <c r="P75">
        <v>7391</v>
      </c>
      <c r="Q75">
        <v>5</v>
      </c>
      <c r="R75" s="4">
        <f>(P75*(1+Q75/100))</f>
        <v>7760.55</v>
      </c>
    </row>
    <row r="76" spans="1:18" x14ac:dyDescent="0.3">
      <c r="A76" t="s">
        <v>16</v>
      </c>
      <c r="B76" t="s">
        <v>26</v>
      </c>
      <c r="C76" t="s">
        <v>40</v>
      </c>
      <c r="D76" t="s">
        <v>41</v>
      </c>
      <c r="E76" t="str">
        <f>IF(F76&lt;5,"Beginner",IF(F76&lt;=10,"Mid-Level","Senior"))</f>
        <v>Senior</v>
      </c>
      <c r="F76" s="2">
        <v>19</v>
      </c>
      <c r="G76" t="s">
        <v>57</v>
      </c>
      <c r="H76" t="s">
        <v>103</v>
      </c>
      <c r="I76" s="2" t="s">
        <v>104</v>
      </c>
      <c r="J76" s="2" t="s">
        <v>105</v>
      </c>
      <c r="K76" s="2">
        <v>3</v>
      </c>
      <c r="L76" s="2">
        <v>2016</v>
      </c>
      <c r="M76" t="s">
        <v>29</v>
      </c>
      <c r="N76" t="s">
        <v>65</v>
      </c>
      <c r="O76" t="s">
        <v>77</v>
      </c>
      <c r="P76">
        <v>5215</v>
      </c>
      <c r="Q76">
        <v>12</v>
      </c>
      <c r="R76" s="4">
        <f>(P76*(1+Q76/100))</f>
        <v>5840.8</v>
      </c>
    </row>
    <row r="77" spans="1:18" x14ac:dyDescent="0.3">
      <c r="A77" t="s">
        <v>16</v>
      </c>
      <c r="B77" t="s">
        <v>25</v>
      </c>
      <c r="C77" t="s">
        <v>39</v>
      </c>
      <c r="D77" t="s">
        <v>50</v>
      </c>
      <c r="E77" t="str">
        <f>IF(F77&lt;5,"Beginner",IF(F77&lt;=10,"Mid-Level","Senior"))</f>
        <v>Mid-Level</v>
      </c>
      <c r="F77" s="2">
        <v>7</v>
      </c>
      <c r="G77" t="s">
        <v>54</v>
      </c>
      <c r="H77" t="s">
        <v>103</v>
      </c>
      <c r="I77" s="2" t="s">
        <v>104</v>
      </c>
      <c r="J77" s="2" t="s">
        <v>105</v>
      </c>
      <c r="K77" s="2">
        <v>3</v>
      </c>
      <c r="L77" s="2">
        <v>2012</v>
      </c>
      <c r="M77" t="s">
        <v>25</v>
      </c>
      <c r="N77" t="s">
        <v>70</v>
      </c>
      <c r="O77" t="s">
        <v>76</v>
      </c>
      <c r="P77">
        <v>11806</v>
      </c>
      <c r="Q77">
        <v>9</v>
      </c>
      <c r="R77" s="4">
        <f>(P77*(1+Q77/100))</f>
        <v>12868.54</v>
      </c>
    </row>
    <row r="78" spans="1:18" x14ac:dyDescent="0.3">
      <c r="A78" t="s">
        <v>16</v>
      </c>
      <c r="B78" t="s">
        <v>28</v>
      </c>
      <c r="C78" t="s">
        <v>40</v>
      </c>
      <c r="D78" t="s">
        <v>44</v>
      </c>
      <c r="E78" t="str">
        <f>IF(F78&lt;5,"Beginner",IF(F78&lt;=10,"Mid-Level","Senior"))</f>
        <v>Beginner</v>
      </c>
      <c r="F78" s="2">
        <v>2</v>
      </c>
      <c r="G78" t="s">
        <v>51</v>
      </c>
      <c r="H78" t="s">
        <v>103</v>
      </c>
      <c r="I78" s="2" t="s">
        <v>104</v>
      </c>
      <c r="J78" s="2" t="s">
        <v>105</v>
      </c>
      <c r="K78" s="2">
        <v>3</v>
      </c>
      <c r="L78" s="2">
        <v>2018</v>
      </c>
      <c r="M78" t="s">
        <v>22</v>
      </c>
      <c r="N78" t="s">
        <v>68</v>
      </c>
      <c r="O78" t="s">
        <v>76</v>
      </c>
      <c r="P78">
        <v>5010</v>
      </c>
      <c r="Q78">
        <v>11</v>
      </c>
      <c r="R78" s="4">
        <f>(P78*(1+Q78/100))</f>
        <v>5561.1</v>
      </c>
    </row>
    <row r="79" spans="1:18" x14ac:dyDescent="0.3">
      <c r="A79" t="s">
        <v>16</v>
      </c>
      <c r="B79" t="s">
        <v>28</v>
      </c>
      <c r="C79" t="s">
        <v>40</v>
      </c>
      <c r="D79" t="s">
        <v>49</v>
      </c>
      <c r="E79" t="str">
        <f>IF(F79&lt;5,"Beginner",IF(F79&lt;=10,"Mid-Level","Senior"))</f>
        <v>Mid-Level</v>
      </c>
      <c r="F79" s="2">
        <v>8</v>
      </c>
      <c r="G79" t="s">
        <v>59</v>
      </c>
      <c r="H79" t="s">
        <v>103</v>
      </c>
      <c r="I79" s="2" t="s">
        <v>104</v>
      </c>
      <c r="J79" s="2" t="s">
        <v>105</v>
      </c>
      <c r="K79" s="2">
        <v>3</v>
      </c>
      <c r="L79" s="2">
        <v>2016</v>
      </c>
      <c r="M79" t="s">
        <v>25</v>
      </c>
      <c r="N79" t="s">
        <v>65</v>
      </c>
      <c r="O79" t="s">
        <v>74</v>
      </c>
      <c r="P79">
        <v>8368</v>
      </c>
      <c r="Q79">
        <v>12</v>
      </c>
      <c r="R79" s="4">
        <f>(P79*(1+Q79/100))</f>
        <v>9372.1600000000017</v>
      </c>
    </row>
    <row r="80" spans="1:18" x14ac:dyDescent="0.3">
      <c r="A80" t="s">
        <v>16</v>
      </c>
      <c r="B80" t="s">
        <v>28</v>
      </c>
      <c r="C80" t="s">
        <v>38</v>
      </c>
      <c r="D80" t="s">
        <v>49</v>
      </c>
      <c r="E80" t="str">
        <f>IF(F80&lt;5,"Beginner",IF(F80&lt;=10,"Mid-Level","Senior"))</f>
        <v>Senior</v>
      </c>
      <c r="F80" s="2">
        <v>13</v>
      </c>
      <c r="G80" t="s">
        <v>51</v>
      </c>
      <c r="H80" t="s">
        <v>103</v>
      </c>
      <c r="I80" s="2" t="s">
        <v>104</v>
      </c>
      <c r="J80" s="2" t="s">
        <v>105</v>
      </c>
      <c r="K80" s="2">
        <v>3</v>
      </c>
      <c r="L80" s="2">
        <v>2016</v>
      </c>
      <c r="M80" t="s">
        <v>29</v>
      </c>
      <c r="N80" t="s">
        <v>65</v>
      </c>
      <c r="O80" t="s">
        <v>73</v>
      </c>
      <c r="P80">
        <v>9890</v>
      </c>
      <c r="Q80">
        <v>5</v>
      </c>
      <c r="R80" s="4">
        <f>(P80*(1+Q80/100))</f>
        <v>10384.5</v>
      </c>
    </row>
    <row r="81" spans="1:18" x14ac:dyDescent="0.3">
      <c r="A81" t="s">
        <v>16</v>
      </c>
      <c r="B81" t="s">
        <v>26</v>
      </c>
      <c r="C81" t="s">
        <v>34</v>
      </c>
      <c r="D81" t="s">
        <v>49</v>
      </c>
      <c r="E81" t="str">
        <f>IF(F81&lt;5,"Beginner",IF(F81&lt;=10,"Mid-Level","Senior"))</f>
        <v>Mid-Level</v>
      </c>
      <c r="F81" s="2">
        <v>8</v>
      </c>
      <c r="G81" t="s">
        <v>56</v>
      </c>
      <c r="H81" t="s">
        <v>103</v>
      </c>
      <c r="I81" s="2" t="s">
        <v>104</v>
      </c>
      <c r="J81" s="2" t="s">
        <v>105</v>
      </c>
      <c r="K81" s="2">
        <v>3</v>
      </c>
      <c r="L81" s="2">
        <v>2010</v>
      </c>
      <c r="M81" t="s">
        <v>27</v>
      </c>
      <c r="N81" t="s">
        <v>63</v>
      </c>
      <c r="O81" t="s">
        <v>77</v>
      </c>
      <c r="P81">
        <v>11929</v>
      </c>
      <c r="Q81">
        <v>11</v>
      </c>
      <c r="R81" s="4">
        <f>(P81*(1+Q81/100))</f>
        <v>13241.19</v>
      </c>
    </row>
    <row r="82" spans="1:18" x14ac:dyDescent="0.3">
      <c r="A82" t="s">
        <v>16</v>
      </c>
      <c r="B82" t="s">
        <v>31</v>
      </c>
      <c r="C82" t="s">
        <v>37</v>
      </c>
      <c r="D82" t="s">
        <v>50</v>
      </c>
      <c r="E82" t="str">
        <f>IF(F82&lt;5,"Beginner",IF(F82&lt;=10,"Mid-Level","Senior"))</f>
        <v>Senior</v>
      </c>
      <c r="F82" s="2">
        <v>18</v>
      </c>
      <c r="G82" t="s">
        <v>58</v>
      </c>
      <c r="H82" t="s">
        <v>103</v>
      </c>
      <c r="I82" s="2" t="s">
        <v>104</v>
      </c>
      <c r="J82" s="2" t="s">
        <v>105</v>
      </c>
      <c r="K82" s="2">
        <v>3</v>
      </c>
      <c r="L82" s="2">
        <v>2024</v>
      </c>
      <c r="M82" t="s">
        <v>23</v>
      </c>
      <c r="N82" t="s">
        <v>65</v>
      </c>
      <c r="O82" t="s">
        <v>74</v>
      </c>
      <c r="P82">
        <v>8489</v>
      </c>
      <c r="Q82">
        <v>6</v>
      </c>
      <c r="R82" s="4">
        <f>(P82*(1+Q82/100))</f>
        <v>8998.34</v>
      </c>
    </row>
    <row r="83" spans="1:18" x14ac:dyDescent="0.3">
      <c r="A83" t="s">
        <v>16</v>
      </c>
      <c r="B83" t="s">
        <v>23</v>
      </c>
      <c r="C83" t="s">
        <v>36</v>
      </c>
      <c r="D83" t="s">
        <v>50</v>
      </c>
      <c r="E83" t="str">
        <f>IF(F83&lt;5,"Beginner",IF(F83&lt;=10,"Mid-Level","Senior"))</f>
        <v>Mid-Level</v>
      </c>
      <c r="F83" s="2">
        <v>5</v>
      </c>
      <c r="G83" t="s">
        <v>56</v>
      </c>
      <c r="H83" t="s">
        <v>103</v>
      </c>
      <c r="I83" s="2" t="s">
        <v>104</v>
      </c>
      <c r="J83" s="2" t="s">
        <v>105</v>
      </c>
      <c r="K83" s="2">
        <v>3</v>
      </c>
      <c r="L83" s="2">
        <v>2021</v>
      </c>
      <c r="M83" t="s">
        <v>24</v>
      </c>
      <c r="N83" t="s">
        <v>71</v>
      </c>
      <c r="O83" t="s">
        <v>74</v>
      </c>
      <c r="P83">
        <v>7978</v>
      </c>
      <c r="Q83">
        <v>8</v>
      </c>
      <c r="R83" s="4">
        <f>(P83*(1+Q83/100))</f>
        <v>8616.24</v>
      </c>
    </row>
    <row r="84" spans="1:18" x14ac:dyDescent="0.3">
      <c r="A84" t="s">
        <v>16</v>
      </c>
      <c r="B84" t="s">
        <v>25</v>
      </c>
      <c r="C84" t="s">
        <v>32</v>
      </c>
      <c r="D84" t="s">
        <v>46</v>
      </c>
      <c r="E84" t="str">
        <f>IF(F84&lt;5,"Beginner",IF(F84&lt;=10,"Mid-Level","Senior"))</f>
        <v>Beginner</v>
      </c>
      <c r="F84" s="2">
        <v>2</v>
      </c>
      <c r="G84" t="s">
        <v>53</v>
      </c>
      <c r="H84" t="s">
        <v>103</v>
      </c>
      <c r="I84" s="2" t="s">
        <v>104</v>
      </c>
      <c r="J84" s="2" t="s">
        <v>105</v>
      </c>
      <c r="K84" s="2">
        <v>3</v>
      </c>
      <c r="L84" s="2">
        <v>2010</v>
      </c>
      <c r="M84" t="s">
        <v>30</v>
      </c>
      <c r="N84" t="s">
        <v>63</v>
      </c>
      <c r="O84" t="s">
        <v>74</v>
      </c>
      <c r="P84">
        <v>11794</v>
      </c>
      <c r="Q84">
        <v>12</v>
      </c>
      <c r="R84" s="4">
        <f>(P84*(1+Q84/100))</f>
        <v>13209.28</v>
      </c>
    </row>
    <row r="85" spans="1:18" x14ac:dyDescent="0.3">
      <c r="A85" t="s">
        <v>16</v>
      </c>
      <c r="B85" t="s">
        <v>27</v>
      </c>
      <c r="C85" t="s">
        <v>39</v>
      </c>
      <c r="D85" t="s">
        <v>46</v>
      </c>
      <c r="E85" t="str">
        <f>IF(F85&lt;5,"Beginner",IF(F85&lt;=10,"Mid-Level","Senior"))</f>
        <v>Senior</v>
      </c>
      <c r="F85" s="2">
        <v>20</v>
      </c>
      <c r="G85" t="s">
        <v>51</v>
      </c>
      <c r="H85" t="s">
        <v>103</v>
      </c>
      <c r="I85" s="2" t="s">
        <v>104</v>
      </c>
      <c r="J85" s="2" t="s">
        <v>105</v>
      </c>
      <c r="K85" s="2">
        <v>3</v>
      </c>
      <c r="L85" s="2">
        <v>2012</v>
      </c>
      <c r="M85" t="s">
        <v>29</v>
      </c>
      <c r="N85" t="s">
        <v>72</v>
      </c>
      <c r="O85" t="s">
        <v>73</v>
      </c>
      <c r="P85">
        <v>9369</v>
      </c>
      <c r="Q85">
        <v>12</v>
      </c>
      <c r="R85" s="4">
        <f>(P85*(1+Q85/100))</f>
        <v>10493.28</v>
      </c>
    </row>
    <row r="86" spans="1:18" x14ac:dyDescent="0.3">
      <c r="A86" t="s">
        <v>16</v>
      </c>
      <c r="B86" t="s">
        <v>24</v>
      </c>
      <c r="C86" t="s">
        <v>32</v>
      </c>
      <c r="D86" t="s">
        <v>44</v>
      </c>
      <c r="E86" t="str">
        <f>IF(F86&lt;5,"Beginner",IF(F86&lt;=10,"Mid-Level","Senior"))</f>
        <v>Senior</v>
      </c>
      <c r="F86" s="2">
        <v>12</v>
      </c>
      <c r="G86" t="s">
        <v>54</v>
      </c>
      <c r="H86" t="s">
        <v>103</v>
      </c>
      <c r="I86" s="2" t="s">
        <v>104</v>
      </c>
      <c r="J86" s="2" t="s">
        <v>105</v>
      </c>
      <c r="K86" s="2">
        <v>3</v>
      </c>
      <c r="L86" s="2">
        <v>2017</v>
      </c>
      <c r="M86" t="s">
        <v>27</v>
      </c>
      <c r="N86" t="s">
        <v>69</v>
      </c>
      <c r="O86" t="s">
        <v>73</v>
      </c>
      <c r="P86">
        <v>8905</v>
      </c>
      <c r="Q86">
        <v>10</v>
      </c>
      <c r="R86" s="4">
        <f>(P86*(1+Q86/100))</f>
        <v>9795.5</v>
      </c>
    </row>
    <row r="87" spans="1:18" x14ac:dyDescent="0.3">
      <c r="A87" t="s">
        <v>16</v>
      </c>
      <c r="B87" t="s">
        <v>22</v>
      </c>
      <c r="C87" t="s">
        <v>37</v>
      </c>
      <c r="D87" t="s">
        <v>44</v>
      </c>
      <c r="E87" t="str">
        <f>IF(F87&lt;5,"Beginner",IF(F87&lt;=10,"Mid-Level","Senior"))</f>
        <v>Mid-Level</v>
      </c>
      <c r="F87" s="2">
        <v>5</v>
      </c>
      <c r="G87" t="s">
        <v>51</v>
      </c>
      <c r="H87" t="s">
        <v>103</v>
      </c>
      <c r="I87" s="2" t="s">
        <v>104</v>
      </c>
      <c r="J87" s="2" t="s">
        <v>105</v>
      </c>
      <c r="K87" s="2">
        <v>3</v>
      </c>
      <c r="L87" s="2">
        <v>2019</v>
      </c>
      <c r="M87" t="s">
        <v>27</v>
      </c>
      <c r="N87" t="s">
        <v>66</v>
      </c>
      <c r="O87" t="s">
        <v>74</v>
      </c>
      <c r="P87">
        <v>8118</v>
      </c>
      <c r="Q87">
        <v>5</v>
      </c>
      <c r="R87" s="4">
        <f>(P87*(1+Q87/100))</f>
        <v>8523.9</v>
      </c>
    </row>
    <row r="88" spans="1:18" x14ac:dyDescent="0.3">
      <c r="A88" t="s">
        <v>16</v>
      </c>
      <c r="B88" t="s">
        <v>23</v>
      </c>
      <c r="C88" t="s">
        <v>37</v>
      </c>
      <c r="D88" t="s">
        <v>46</v>
      </c>
      <c r="E88" t="str">
        <f>IF(F88&lt;5,"Beginner",IF(F88&lt;=10,"Mid-Level","Senior"))</f>
        <v>Senior</v>
      </c>
      <c r="F88" s="2">
        <v>20</v>
      </c>
      <c r="G88" t="s">
        <v>52</v>
      </c>
      <c r="H88" t="s">
        <v>103</v>
      </c>
      <c r="I88" s="2" t="s">
        <v>104</v>
      </c>
      <c r="J88" s="2" t="s">
        <v>105</v>
      </c>
      <c r="K88" s="2">
        <v>3</v>
      </c>
      <c r="L88" s="2">
        <v>2022</v>
      </c>
      <c r="M88" t="s">
        <v>24</v>
      </c>
      <c r="N88" t="s">
        <v>72</v>
      </c>
      <c r="O88" t="s">
        <v>74</v>
      </c>
      <c r="P88">
        <v>9465</v>
      </c>
      <c r="Q88">
        <v>5</v>
      </c>
      <c r="R88" s="4">
        <f>(P88*(1+Q88/100))</f>
        <v>9938.25</v>
      </c>
    </row>
    <row r="89" spans="1:18" x14ac:dyDescent="0.3">
      <c r="A89" t="s">
        <v>16</v>
      </c>
      <c r="B89" t="s">
        <v>22</v>
      </c>
      <c r="C89" t="s">
        <v>34</v>
      </c>
      <c r="D89" t="s">
        <v>49</v>
      </c>
      <c r="E89" t="str">
        <f>IF(F89&lt;5,"Beginner",IF(F89&lt;=10,"Mid-Level","Senior"))</f>
        <v>Mid-Level</v>
      </c>
      <c r="F89" s="2">
        <v>9</v>
      </c>
      <c r="G89" t="s">
        <v>53</v>
      </c>
      <c r="H89" t="s">
        <v>103</v>
      </c>
      <c r="I89" s="2" t="s">
        <v>104</v>
      </c>
      <c r="J89" s="2" t="s">
        <v>105</v>
      </c>
      <c r="K89" s="2">
        <v>3</v>
      </c>
      <c r="L89" s="2">
        <v>2012</v>
      </c>
      <c r="M89" t="s">
        <v>26</v>
      </c>
      <c r="N89" t="s">
        <v>70</v>
      </c>
      <c r="O89" t="s">
        <v>74</v>
      </c>
      <c r="P89">
        <v>6623</v>
      </c>
      <c r="Q89">
        <v>12</v>
      </c>
      <c r="R89" s="4">
        <f>(P89*(1+Q89/100))</f>
        <v>7417.7600000000011</v>
      </c>
    </row>
    <row r="90" spans="1:18" x14ac:dyDescent="0.3">
      <c r="A90" t="s">
        <v>16</v>
      </c>
      <c r="B90" t="s">
        <v>26</v>
      </c>
      <c r="C90" t="s">
        <v>36</v>
      </c>
      <c r="D90" t="s">
        <v>50</v>
      </c>
      <c r="E90" t="str">
        <f>IF(F90&lt;5,"Beginner",IF(F90&lt;=10,"Mid-Level","Senior"))</f>
        <v>Mid-Level</v>
      </c>
      <c r="F90" s="2">
        <v>8</v>
      </c>
      <c r="G90" t="s">
        <v>55</v>
      </c>
      <c r="H90" t="s">
        <v>103</v>
      </c>
      <c r="I90" s="2" t="s">
        <v>104</v>
      </c>
      <c r="J90" s="2" t="s">
        <v>105</v>
      </c>
      <c r="K90" s="2">
        <v>3</v>
      </c>
      <c r="L90" s="2">
        <v>2011</v>
      </c>
      <c r="M90" t="s">
        <v>26</v>
      </c>
      <c r="N90" t="s">
        <v>63</v>
      </c>
      <c r="O90" t="s">
        <v>77</v>
      </c>
      <c r="P90">
        <v>11885</v>
      </c>
      <c r="Q90">
        <v>5</v>
      </c>
      <c r="R90" s="4">
        <f>(P90*(1+Q90/100))</f>
        <v>12479.25</v>
      </c>
    </row>
    <row r="91" spans="1:18" x14ac:dyDescent="0.3">
      <c r="A91" t="s">
        <v>16</v>
      </c>
      <c r="B91" t="s">
        <v>23</v>
      </c>
      <c r="C91" t="s">
        <v>33</v>
      </c>
      <c r="D91" t="s">
        <v>42</v>
      </c>
      <c r="E91" t="str">
        <f>IF(F91&lt;5,"Beginner",IF(F91&lt;=10,"Mid-Level","Senior"))</f>
        <v>Senior</v>
      </c>
      <c r="F91" s="2">
        <v>20</v>
      </c>
      <c r="G91" t="s">
        <v>53</v>
      </c>
      <c r="H91" t="s">
        <v>103</v>
      </c>
      <c r="I91" s="2" t="s">
        <v>104</v>
      </c>
      <c r="J91" s="2" t="s">
        <v>105</v>
      </c>
      <c r="K91" s="2">
        <v>3</v>
      </c>
      <c r="L91" s="2">
        <v>2017</v>
      </c>
      <c r="M91" t="s">
        <v>22</v>
      </c>
      <c r="N91" t="s">
        <v>68</v>
      </c>
      <c r="O91" t="s">
        <v>73</v>
      </c>
      <c r="P91">
        <v>7829</v>
      </c>
      <c r="Q91">
        <v>10</v>
      </c>
      <c r="R91" s="4">
        <f>(P91*(1+Q91/100))</f>
        <v>8611.9000000000015</v>
      </c>
    </row>
    <row r="92" spans="1:18" x14ac:dyDescent="0.3">
      <c r="A92" t="s">
        <v>16</v>
      </c>
      <c r="B92" t="s">
        <v>28</v>
      </c>
      <c r="C92" t="s">
        <v>36</v>
      </c>
      <c r="D92" t="s">
        <v>50</v>
      </c>
      <c r="E92" t="str">
        <f>IF(F92&lt;5,"Beginner",IF(F92&lt;=10,"Mid-Level","Senior"))</f>
        <v>Senior</v>
      </c>
      <c r="F92" s="2">
        <v>18</v>
      </c>
      <c r="G92" t="s">
        <v>59</v>
      </c>
      <c r="H92" t="s">
        <v>103</v>
      </c>
      <c r="I92" s="2" t="s">
        <v>104</v>
      </c>
      <c r="J92" s="2" t="s">
        <v>105</v>
      </c>
      <c r="K92" s="2">
        <v>3</v>
      </c>
      <c r="L92" s="2">
        <v>2022</v>
      </c>
      <c r="M92" t="s">
        <v>25</v>
      </c>
      <c r="N92" t="s">
        <v>65</v>
      </c>
      <c r="O92" t="s">
        <v>75</v>
      </c>
      <c r="P92">
        <v>5363</v>
      </c>
      <c r="Q92">
        <v>7</v>
      </c>
      <c r="R92" s="4">
        <f>(P92*(1+Q92/100))</f>
        <v>5738.4100000000008</v>
      </c>
    </row>
    <row r="93" spans="1:18" x14ac:dyDescent="0.3">
      <c r="A93" t="s">
        <v>16</v>
      </c>
      <c r="B93" t="s">
        <v>24</v>
      </c>
      <c r="C93" t="s">
        <v>37</v>
      </c>
      <c r="D93" t="s">
        <v>46</v>
      </c>
      <c r="E93" t="str">
        <f>IF(F93&lt;5,"Beginner",IF(F93&lt;=10,"Mid-Level","Senior"))</f>
        <v>Mid-Level</v>
      </c>
      <c r="F93" s="2">
        <v>10</v>
      </c>
      <c r="G93" t="s">
        <v>52</v>
      </c>
      <c r="H93" t="s">
        <v>103</v>
      </c>
      <c r="I93" s="2" t="s">
        <v>104</v>
      </c>
      <c r="J93" s="2" t="s">
        <v>105</v>
      </c>
      <c r="K93" s="2">
        <v>3</v>
      </c>
      <c r="L93" s="2">
        <v>2011</v>
      </c>
      <c r="M93" t="s">
        <v>22</v>
      </c>
      <c r="N93" t="s">
        <v>66</v>
      </c>
      <c r="O93" t="s">
        <v>75</v>
      </c>
      <c r="P93">
        <v>5497</v>
      </c>
      <c r="Q93">
        <v>5</v>
      </c>
      <c r="R93" s="4">
        <f>(P93*(1+Q93/100))</f>
        <v>5771.85</v>
      </c>
    </row>
    <row r="94" spans="1:18" x14ac:dyDescent="0.3">
      <c r="A94" t="s">
        <v>16</v>
      </c>
      <c r="B94" t="s">
        <v>24</v>
      </c>
      <c r="C94" t="s">
        <v>34</v>
      </c>
      <c r="D94" t="s">
        <v>42</v>
      </c>
      <c r="E94" t="str">
        <f>IF(F94&lt;5,"Beginner",IF(F94&lt;=10,"Mid-Level","Senior"))</f>
        <v>Beginner</v>
      </c>
      <c r="F94" s="2">
        <v>3</v>
      </c>
      <c r="G94" t="s">
        <v>54</v>
      </c>
      <c r="H94" t="s">
        <v>103</v>
      </c>
      <c r="I94" s="2" t="s">
        <v>104</v>
      </c>
      <c r="J94" s="2" t="s">
        <v>105</v>
      </c>
      <c r="K94" s="2">
        <v>3</v>
      </c>
      <c r="L94" s="2">
        <v>2010</v>
      </c>
      <c r="M94" t="s">
        <v>26</v>
      </c>
      <c r="N94" t="s">
        <v>69</v>
      </c>
      <c r="O94" t="s">
        <v>77</v>
      </c>
      <c r="P94">
        <v>5422</v>
      </c>
      <c r="Q94">
        <v>5</v>
      </c>
      <c r="R94" s="4">
        <f>(P94*(1+Q94/100))</f>
        <v>5693.1</v>
      </c>
    </row>
    <row r="95" spans="1:18" x14ac:dyDescent="0.3">
      <c r="A95" t="s">
        <v>16</v>
      </c>
      <c r="B95" t="s">
        <v>30</v>
      </c>
      <c r="C95" t="s">
        <v>32</v>
      </c>
      <c r="D95" t="s">
        <v>47</v>
      </c>
      <c r="E95" t="str">
        <f>IF(F95&lt;5,"Beginner",IF(F95&lt;=10,"Mid-Level","Senior"))</f>
        <v>Senior</v>
      </c>
      <c r="F95" s="2">
        <v>13</v>
      </c>
      <c r="G95" t="s">
        <v>52</v>
      </c>
      <c r="H95" t="s">
        <v>103</v>
      </c>
      <c r="I95" s="2" t="s">
        <v>104</v>
      </c>
      <c r="J95" s="2" t="s">
        <v>105</v>
      </c>
      <c r="K95" s="2">
        <v>3</v>
      </c>
      <c r="L95" s="2">
        <v>2022</v>
      </c>
      <c r="M95" t="s">
        <v>23</v>
      </c>
      <c r="N95" t="s">
        <v>67</v>
      </c>
      <c r="O95" t="s">
        <v>73</v>
      </c>
      <c r="P95">
        <v>7449</v>
      </c>
      <c r="Q95">
        <v>11</v>
      </c>
      <c r="R95" s="4">
        <f>(P95*(1+Q95/100))</f>
        <v>8268.3900000000012</v>
      </c>
    </row>
    <row r="96" spans="1:18" x14ac:dyDescent="0.3">
      <c r="A96" t="s">
        <v>12</v>
      </c>
      <c r="B96" t="s">
        <v>22</v>
      </c>
      <c r="C96" t="s">
        <v>32</v>
      </c>
      <c r="D96" t="s">
        <v>41</v>
      </c>
      <c r="E96" t="str">
        <f>IF(F96&lt;5,"Beginner",IF(F96&lt;=10,"Mid-Level","Senior"))</f>
        <v>Mid-Level</v>
      </c>
      <c r="F96" s="2">
        <v>8</v>
      </c>
      <c r="G96" t="s">
        <v>51</v>
      </c>
      <c r="H96" t="s">
        <v>80</v>
      </c>
      <c r="I96" s="2" t="s">
        <v>81</v>
      </c>
      <c r="J96" s="2" t="s">
        <v>82</v>
      </c>
      <c r="K96" s="2">
        <v>3</v>
      </c>
      <c r="L96" s="2">
        <v>2023</v>
      </c>
      <c r="M96" t="s">
        <v>29</v>
      </c>
      <c r="N96" t="s">
        <v>63</v>
      </c>
      <c r="O96" t="s">
        <v>73</v>
      </c>
      <c r="P96">
        <v>4811</v>
      </c>
      <c r="Q96">
        <v>11</v>
      </c>
      <c r="R96" s="4">
        <f>(P96*(1+Q96/100))</f>
        <v>5340.21</v>
      </c>
    </row>
    <row r="97" spans="1:18" x14ac:dyDescent="0.3">
      <c r="A97" t="s">
        <v>12</v>
      </c>
      <c r="B97" t="s">
        <v>26</v>
      </c>
      <c r="C97" t="s">
        <v>35</v>
      </c>
      <c r="D97" t="s">
        <v>47</v>
      </c>
      <c r="E97" t="str">
        <f>IF(F97&lt;5,"Beginner",IF(F97&lt;=10,"Mid-Level","Senior"))</f>
        <v>Mid-Level</v>
      </c>
      <c r="F97" s="2">
        <v>7</v>
      </c>
      <c r="G97" t="s">
        <v>56</v>
      </c>
      <c r="H97" t="s">
        <v>80</v>
      </c>
      <c r="I97" s="2" t="s">
        <v>81</v>
      </c>
      <c r="J97" s="2" t="s">
        <v>82</v>
      </c>
      <c r="K97" s="2">
        <v>3</v>
      </c>
      <c r="L97" s="2">
        <v>2018</v>
      </c>
      <c r="M97" t="s">
        <v>30</v>
      </c>
      <c r="N97" t="s">
        <v>64</v>
      </c>
      <c r="O97" t="s">
        <v>76</v>
      </c>
      <c r="P97">
        <v>5683</v>
      </c>
      <c r="Q97">
        <v>5</v>
      </c>
      <c r="R97" s="4">
        <f>(P97*(1+Q97/100))</f>
        <v>5967.1500000000005</v>
      </c>
    </row>
    <row r="98" spans="1:18" x14ac:dyDescent="0.3">
      <c r="A98" t="s">
        <v>12</v>
      </c>
      <c r="B98" t="s">
        <v>29</v>
      </c>
      <c r="C98" t="s">
        <v>39</v>
      </c>
      <c r="D98" t="s">
        <v>42</v>
      </c>
      <c r="E98" t="str">
        <f>IF(F98&lt;5,"Beginner",IF(F98&lt;=10,"Mid-Level","Senior"))</f>
        <v>Mid-Level</v>
      </c>
      <c r="F98" s="2">
        <v>5</v>
      </c>
      <c r="G98" t="s">
        <v>53</v>
      </c>
      <c r="H98" t="s">
        <v>80</v>
      </c>
      <c r="I98" s="2" t="s">
        <v>81</v>
      </c>
      <c r="J98" s="2" t="s">
        <v>82</v>
      </c>
      <c r="K98" s="2">
        <v>3</v>
      </c>
      <c r="L98" s="2">
        <v>2021</v>
      </c>
      <c r="M98" t="s">
        <v>22</v>
      </c>
      <c r="N98" t="s">
        <v>69</v>
      </c>
      <c r="O98" t="s">
        <v>75</v>
      </c>
      <c r="P98">
        <v>6144</v>
      </c>
      <c r="Q98">
        <v>5</v>
      </c>
      <c r="R98" s="4">
        <f>(P98*(1+Q98/100))</f>
        <v>6451.2000000000007</v>
      </c>
    </row>
    <row r="99" spans="1:18" x14ac:dyDescent="0.3">
      <c r="A99" t="s">
        <v>12</v>
      </c>
      <c r="B99" t="s">
        <v>23</v>
      </c>
      <c r="C99" t="s">
        <v>33</v>
      </c>
      <c r="D99" t="s">
        <v>45</v>
      </c>
      <c r="E99" t="str">
        <f>IF(F99&lt;5,"Beginner",IF(F99&lt;=10,"Mid-Level","Senior"))</f>
        <v>Mid-Level</v>
      </c>
      <c r="F99" s="2">
        <v>10</v>
      </c>
      <c r="G99" t="s">
        <v>53</v>
      </c>
      <c r="H99" t="s">
        <v>80</v>
      </c>
      <c r="I99" s="2" t="s">
        <v>81</v>
      </c>
      <c r="J99" s="2" t="s">
        <v>82</v>
      </c>
      <c r="K99" s="2">
        <v>3</v>
      </c>
      <c r="L99" s="2">
        <v>2016</v>
      </c>
      <c r="M99" t="s">
        <v>25</v>
      </c>
      <c r="N99" t="s">
        <v>65</v>
      </c>
      <c r="O99" t="s">
        <v>74</v>
      </c>
      <c r="P99">
        <v>6141</v>
      </c>
      <c r="Q99">
        <v>11</v>
      </c>
      <c r="R99" s="4">
        <f>(P99*(1+Q99/100))</f>
        <v>6816.51</v>
      </c>
    </row>
    <row r="100" spans="1:18" x14ac:dyDescent="0.3">
      <c r="A100" t="s">
        <v>12</v>
      </c>
      <c r="B100" t="s">
        <v>27</v>
      </c>
      <c r="C100" t="s">
        <v>37</v>
      </c>
      <c r="D100" t="s">
        <v>41</v>
      </c>
      <c r="E100" t="str">
        <f>IF(F100&lt;5,"Beginner",IF(F100&lt;=10,"Mid-Level","Senior"))</f>
        <v>Senior</v>
      </c>
      <c r="F100" s="2">
        <v>18</v>
      </c>
      <c r="G100" t="s">
        <v>57</v>
      </c>
      <c r="H100" t="s">
        <v>80</v>
      </c>
      <c r="I100" s="2" t="s">
        <v>81</v>
      </c>
      <c r="J100" s="2" t="s">
        <v>82</v>
      </c>
      <c r="K100" s="2">
        <v>3</v>
      </c>
      <c r="L100" s="2">
        <v>2014</v>
      </c>
      <c r="M100" t="s">
        <v>31</v>
      </c>
      <c r="N100" t="s">
        <v>67</v>
      </c>
      <c r="O100" t="s">
        <v>77</v>
      </c>
      <c r="P100">
        <v>6275</v>
      </c>
      <c r="Q100">
        <v>7</v>
      </c>
      <c r="R100" s="4">
        <f>(P100*(1+Q100/100))</f>
        <v>6714.25</v>
      </c>
    </row>
    <row r="101" spans="1:18" x14ac:dyDescent="0.3">
      <c r="A101" t="s">
        <v>12</v>
      </c>
      <c r="B101" t="s">
        <v>22</v>
      </c>
      <c r="C101" t="s">
        <v>35</v>
      </c>
      <c r="D101" t="s">
        <v>42</v>
      </c>
      <c r="E101" t="str">
        <f>IF(F101&lt;5,"Beginner",IF(F101&lt;=10,"Mid-Level","Senior"))</f>
        <v>Beginner</v>
      </c>
      <c r="F101" s="2">
        <v>2</v>
      </c>
      <c r="G101" t="s">
        <v>53</v>
      </c>
      <c r="H101" t="s">
        <v>80</v>
      </c>
      <c r="I101" s="2" t="s">
        <v>81</v>
      </c>
      <c r="J101" s="2" t="s">
        <v>82</v>
      </c>
      <c r="K101" s="2">
        <v>3</v>
      </c>
      <c r="L101" s="2">
        <v>2013</v>
      </c>
      <c r="M101" t="s">
        <v>28</v>
      </c>
      <c r="N101" t="s">
        <v>69</v>
      </c>
      <c r="O101" t="s">
        <v>73</v>
      </c>
      <c r="P101">
        <v>7238</v>
      </c>
      <c r="Q101">
        <v>8</v>
      </c>
      <c r="R101" s="4">
        <f>(P101*(1+Q101/100))</f>
        <v>7817.0400000000009</v>
      </c>
    </row>
    <row r="102" spans="1:18" x14ac:dyDescent="0.3">
      <c r="A102" t="s">
        <v>12</v>
      </c>
      <c r="B102" t="s">
        <v>31</v>
      </c>
      <c r="C102" t="s">
        <v>32</v>
      </c>
      <c r="D102" t="s">
        <v>46</v>
      </c>
      <c r="E102" t="str">
        <f>IF(F102&lt;5,"Beginner",IF(F102&lt;=10,"Mid-Level","Senior"))</f>
        <v>Senior</v>
      </c>
      <c r="F102" s="2">
        <v>16</v>
      </c>
      <c r="G102" t="s">
        <v>54</v>
      </c>
      <c r="H102" t="s">
        <v>80</v>
      </c>
      <c r="I102" s="2" t="s">
        <v>81</v>
      </c>
      <c r="J102" s="2" t="s">
        <v>82</v>
      </c>
      <c r="K102" s="2">
        <v>3</v>
      </c>
      <c r="L102" s="2">
        <v>2018</v>
      </c>
      <c r="M102" t="s">
        <v>24</v>
      </c>
      <c r="N102" t="s">
        <v>68</v>
      </c>
      <c r="O102" t="s">
        <v>76</v>
      </c>
      <c r="P102">
        <v>6090</v>
      </c>
      <c r="Q102">
        <v>7</v>
      </c>
      <c r="R102" s="4">
        <f>(P102*(1+Q102/100))</f>
        <v>6516.3</v>
      </c>
    </row>
    <row r="103" spans="1:18" x14ac:dyDescent="0.3">
      <c r="A103" t="s">
        <v>12</v>
      </c>
      <c r="B103" t="s">
        <v>25</v>
      </c>
      <c r="C103" t="s">
        <v>38</v>
      </c>
      <c r="D103" t="s">
        <v>45</v>
      </c>
      <c r="E103" t="str">
        <f>IF(F103&lt;5,"Beginner",IF(F103&lt;=10,"Mid-Level","Senior"))</f>
        <v>Beginner</v>
      </c>
      <c r="F103" s="2">
        <v>1</v>
      </c>
      <c r="G103" t="s">
        <v>51</v>
      </c>
      <c r="H103" t="s">
        <v>80</v>
      </c>
      <c r="I103" s="2" t="s">
        <v>81</v>
      </c>
      <c r="J103" s="2" t="s">
        <v>82</v>
      </c>
      <c r="K103" s="2">
        <v>3</v>
      </c>
      <c r="L103" s="2">
        <v>2016</v>
      </c>
      <c r="M103" t="s">
        <v>26</v>
      </c>
      <c r="N103" t="s">
        <v>67</v>
      </c>
      <c r="O103" t="s">
        <v>77</v>
      </c>
      <c r="P103">
        <v>6834</v>
      </c>
      <c r="Q103">
        <v>9</v>
      </c>
      <c r="R103" s="4">
        <f>(P103*(1+Q103/100))</f>
        <v>7449.06</v>
      </c>
    </row>
    <row r="104" spans="1:18" x14ac:dyDescent="0.3">
      <c r="A104" t="s">
        <v>12</v>
      </c>
      <c r="B104" t="s">
        <v>30</v>
      </c>
      <c r="C104" t="s">
        <v>36</v>
      </c>
      <c r="D104" t="s">
        <v>50</v>
      </c>
      <c r="E104" t="str">
        <f>IF(F104&lt;5,"Beginner",IF(F104&lt;=10,"Mid-Level","Senior"))</f>
        <v>Beginner</v>
      </c>
      <c r="F104" s="2">
        <v>2</v>
      </c>
      <c r="G104" t="s">
        <v>51</v>
      </c>
      <c r="H104" t="s">
        <v>80</v>
      </c>
      <c r="I104" s="2" t="s">
        <v>81</v>
      </c>
      <c r="J104" s="2" t="s">
        <v>82</v>
      </c>
      <c r="K104" s="2">
        <v>3</v>
      </c>
      <c r="L104" s="2">
        <v>2024</v>
      </c>
      <c r="M104" t="s">
        <v>30</v>
      </c>
      <c r="N104" t="s">
        <v>67</v>
      </c>
      <c r="O104" t="s">
        <v>77</v>
      </c>
      <c r="P104">
        <v>4354</v>
      </c>
      <c r="Q104">
        <v>7</v>
      </c>
      <c r="R104" s="4">
        <f>(P104*(1+Q104/100))</f>
        <v>4658.7800000000007</v>
      </c>
    </row>
    <row r="105" spans="1:18" x14ac:dyDescent="0.3">
      <c r="A105" t="s">
        <v>12</v>
      </c>
      <c r="B105" t="s">
        <v>24</v>
      </c>
      <c r="C105" t="s">
        <v>33</v>
      </c>
      <c r="D105" t="s">
        <v>47</v>
      </c>
      <c r="E105" t="str">
        <f>IF(F105&lt;5,"Beginner",IF(F105&lt;=10,"Mid-Level","Senior"))</f>
        <v>Mid-Level</v>
      </c>
      <c r="F105" s="2">
        <v>10</v>
      </c>
      <c r="G105" t="s">
        <v>51</v>
      </c>
      <c r="H105" t="s">
        <v>80</v>
      </c>
      <c r="I105" s="2" t="s">
        <v>81</v>
      </c>
      <c r="J105" s="2" t="s">
        <v>82</v>
      </c>
      <c r="K105" s="2">
        <v>3</v>
      </c>
      <c r="L105" s="2">
        <v>2013</v>
      </c>
      <c r="M105" t="s">
        <v>31</v>
      </c>
      <c r="N105" t="s">
        <v>68</v>
      </c>
      <c r="O105" t="s">
        <v>75</v>
      </c>
      <c r="P105">
        <v>4526</v>
      </c>
      <c r="Q105">
        <v>5</v>
      </c>
      <c r="R105" s="4">
        <f>(P105*(1+Q105/100))</f>
        <v>4752.3</v>
      </c>
    </row>
    <row r="106" spans="1:18" x14ac:dyDescent="0.3">
      <c r="A106" t="s">
        <v>12</v>
      </c>
      <c r="B106" t="s">
        <v>23</v>
      </c>
      <c r="C106" t="s">
        <v>34</v>
      </c>
      <c r="D106" t="s">
        <v>48</v>
      </c>
      <c r="E106" t="str">
        <f>IF(F106&lt;5,"Beginner",IF(F106&lt;=10,"Mid-Level","Senior"))</f>
        <v>Senior</v>
      </c>
      <c r="F106" s="2">
        <v>12</v>
      </c>
      <c r="G106" t="s">
        <v>58</v>
      </c>
      <c r="H106" t="s">
        <v>80</v>
      </c>
      <c r="I106" s="2" t="s">
        <v>81</v>
      </c>
      <c r="J106" s="2" t="s">
        <v>82</v>
      </c>
      <c r="K106" s="2">
        <v>3</v>
      </c>
      <c r="L106" s="2">
        <v>2021</v>
      </c>
      <c r="M106" t="s">
        <v>29</v>
      </c>
      <c r="N106" t="s">
        <v>71</v>
      </c>
      <c r="O106" t="s">
        <v>77</v>
      </c>
      <c r="P106">
        <v>8678</v>
      </c>
      <c r="Q106">
        <v>7</v>
      </c>
      <c r="R106" s="4">
        <f>(P106*(1+Q106/100))</f>
        <v>9285.4600000000009</v>
      </c>
    </row>
    <row r="107" spans="1:18" x14ac:dyDescent="0.3">
      <c r="A107" t="s">
        <v>12</v>
      </c>
      <c r="B107" t="s">
        <v>23</v>
      </c>
      <c r="C107" t="s">
        <v>32</v>
      </c>
      <c r="D107" t="s">
        <v>50</v>
      </c>
      <c r="E107" t="str">
        <f>IF(F107&lt;5,"Beginner",IF(F107&lt;=10,"Mid-Level","Senior"))</f>
        <v>Mid-Level</v>
      </c>
      <c r="F107" s="2">
        <v>9</v>
      </c>
      <c r="G107" t="s">
        <v>55</v>
      </c>
      <c r="H107" t="s">
        <v>80</v>
      </c>
      <c r="I107" s="2" t="s">
        <v>81</v>
      </c>
      <c r="J107" s="2" t="s">
        <v>82</v>
      </c>
      <c r="K107" s="2">
        <v>3</v>
      </c>
      <c r="L107" s="2">
        <v>2020</v>
      </c>
      <c r="M107" t="s">
        <v>31</v>
      </c>
      <c r="N107" t="s">
        <v>66</v>
      </c>
      <c r="O107" t="s">
        <v>74</v>
      </c>
      <c r="P107">
        <v>7871</v>
      </c>
      <c r="Q107">
        <v>5</v>
      </c>
      <c r="R107" s="4">
        <f>(P107*(1+Q107/100))</f>
        <v>8264.5500000000011</v>
      </c>
    </row>
    <row r="108" spans="1:18" x14ac:dyDescent="0.3">
      <c r="A108" t="s">
        <v>12</v>
      </c>
      <c r="B108" t="s">
        <v>30</v>
      </c>
      <c r="C108" t="s">
        <v>37</v>
      </c>
      <c r="D108" t="s">
        <v>46</v>
      </c>
      <c r="E108" t="str">
        <f>IF(F108&lt;5,"Beginner",IF(F108&lt;=10,"Mid-Level","Senior"))</f>
        <v>Senior</v>
      </c>
      <c r="F108" s="2">
        <v>13</v>
      </c>
      <c r="G108" t="s">
        <v>56</v>
      </c>
      <c r="H108" t="s">
        <v>80</v>
      </c>
      <c r="I108" s="2" t="s">
        <v>81</v>
      </c>
      <c r="J108" s="2" t="s">
        <v>82</v>
      </c>
      <c r="K108" s="2">
        <v>3</v>
      </c>
      <c r="L108" s="2">
        <v>2016</v>
      </c>
      <c r="M108" t="s">
        <v>24</v>
      </c>
      <c r="N108" t="s">
        <v>71</v>
      </c>
      <c r="O108" t="s">
        <v>76</v>
      </c>
      <c r="P108">
        <v>4386</v>
      </c>
      <c r="Q108">
        <v>9</v>
      </c>
      <c r="R108" s="4">
        <f>(P108*(1+Q108/100))</f>
        <v>4780.7400000000007</v>
      </c>
    </row>
    <row r="109" spans="1:18" x14ac:dyDescent="0.3">
      <c r="A109" t="s">
        <v>12</v>
      </c>
      <c r="B109" t="s">
        <v>27</v>
      </c>
      <c r="C109" t="s">
        <v>35</v>
      </c>
      <c r="D109" t="s">
        <v>50</v>
      </c>
      <c r="E109" t="str">
        <f>IF(F109&lt;5,"Beginner",IF(F109&lt;=10,"Mid-Level","Senior"))</f>
        <v>Senior</v>
      </c>
      <c r="F109" s="2">
        <v>19</v>
      </c>
      <c r="G109" t="s">
        <v>58</v>
      </c>
      <c r="H109" t="s">
        <v>80</v>
      </c>
      <c r="I109" s="2" t="s">
        <v>81</v>
      </c>
      <c r="J109" s="2" t="s">
        <v>82</v>
      </c>
      <c r="K109" s="2">
        <v>3</v>
      </c>
      <c r="L109" s="2">
        <v>2020</v>
      </c>
      <c r="M109" t="s">
        <v>24</v>
      </c>
      <c r="N109" t="s">
        <v>68</v>
      </c>
      <c r="O109" t="s">
        <v>75</v>
      </c>
      <c r="P109">
        <v>4817</v>
      </c>
      <c r="Q109">
        <v>5</v>
      </c>
      <c r="R109" s="4">
        <f>(P109*(1+Q109/100))</f>
        <v>5057.8500000000004</v>
      </c>
    </row>
    <row r="110" spans="1:18" x14ac:dyDescent="0.3">
      <c r="A110" t="s">
        <v>12</v>
      </c>
      <c r="B110" t="s">
        <v>25</v>
      </c>
      <c r="C110" t="s">
        <v>5</v>
      </c>
      <c r="D110" t="s">
        <v>46</v>
      </c>
      <c r="E110" t="str">
        <f>IF(F110&lt;5,"Beginner",IF(F110&lt;=10,"Mid-Level","Senior"))</f>
        <v>Senior</v>
      </c>
      <c r="F110" s="2">
        <v>13</v>
      </c>
      <c r="G110" t="s">
        <v>54</v>
      </c>
      <c r="H110" t="s">
        <v>80</v>
      </c>
      <c r="I110" s="2" t="s">
        <v>81</v>
      </c>
      <c r="J110" s="2" t="s">
        <v>82</v>
      </c>
      <c r="K110" s="2">
        <v>3</v>
      </c>
      <c r="L110" s="2">
        <v>2012</v>
      </c>
      <c r="M110" t="s">
        <v>29</v>
      </c>
      <c r="N110" t="s">
        <v>64</v>
      </c>
      <c r="O110" t="s">
        <v>75</v>
      </c>
      <c r="P110">
        <v>8830</v>
      </c>
      <c r="Q110">
        <v>8</v>
      </c>
      <c r="R110" s="4">
        <f>(P110*(1+Q110/100))</f>
        <v>9536.4000000000015</v>
      </c>
    </row>
    <row r="111" spans="1:18" x14ac:dyDescent="0.3">
      <c r="A111" t="s">
        <v>12</v>
      </c>
      <c r="B111" t="s">
        <v>26</v>
      </c>
      <c r="C111" t="s">
        <v>5</v>
      </c>
      <c r="D111" t="s">
        <v>45</v>
      </c>
      <c r="E111" t="str">
        <f>IF(F111&lt;5,"Beginner",IF(F111&lt;=10,"Mid-Level","Senior"))</f>
        <v>Senior</v>
      </c>
      <c r="F111" s="2">
        <v>19</v>
      </c>
      <c r="G111" t="s">
        <v>59</v>
      </c>
      <c r="H111" t="s">
        <v>80</v>
      </c>
      <c r="I111" s="2" t="s">
        <v>81</v>
      </c>
      <c r="J111" s="2" t="s">
        <v>82</v>
      </c>
      <c r="K111" s="2">
        <v>3</v>
      </c>
      <c r="L111" s="2">
        <v>2016</v>
      </c>
      <c r="M111" t="s">
        <v>27</v>
      </c>
      <c r="N111" t="s">
        <v>71</v>
      </c>
      <c r="O111" t="s">
        <v>75</v>
      </c>
      <c r="P111">
        <v>6532</v>
      </c>
      <c r="Q111">
        <v>10</v>
      </c>
      <c r="R111" s="4">
        <f>(P111*(1+Q111/100))</f>
        <v>7185.2000000000007</v>
      </c>
    </row>
    <row r="112" spans="1:18" x14ac:dyDescent="0.3">
      <c r="A112" t="s">
        <v>12</v>
      </c>
      <c r="B112" t="s">
        <v>27</v>
      </c>
      <c r="C112" t="s">
        <v>33</v>
      </c>
      <c r="D112" t="s">
        <v>42</v>
      </c>
      <c r="E112" t="str">
        <f>IF(F112&lt;5,"Beginner",IF(F112&lt;=10,"Mid-Level","Senior"))</f>
        <v>Mid-Level</v>
      </c>
      <c r="F112" s="2">
        <v>7</v>
      </c>
      <c r="G112" t="s">
        <v>51</v>
      </c>
      <c r="H112" t="s">
        <v>80</v>
      </c>
      <c r="I112" s="2" t="s">
        <v>81</v>
      </c>
      <c r="J112" s="2" t="s">
        <v>82</v>
      </c>
      <c r="K112" s="2">
        <v>3</v>
      </c>
      <c r="L112" s="2">
        <v>2024</v>
      </c>
      <c r="M112" t="s">
        <v>30</v>
      </c>
      <c r="N112" t="s">
        <v>66</v>
      </c>
      <c r="O112" t="s">
        <v>75</v>
      </c>
      <c r="P112">
        <v>6435</v>
      </c>
      <c r="Q112">
        <v>7</v>
      </c>
      <c r="R112" s="4">
        <f>(P112*(1+Q112/100))</f>
        <v>6885.4500000000007</v>
      </c>
    </row>
    <row r="113" spans="1:18" x14ac:dyDescent="0.3">
      <c r="A113" t="s">
        <v>12</v>
      </c>
      <c r="B113" t="s">
        <v>22</v>
      </c>
      <c r="C113" t="s">
        <v>32</v>
      </c>
      <c r="D113" t="s">
        <v>50</v>
      </c>
      <c r="E113" t="str">
        <f>IF(F113&lt;5,"Beginner",IF(F113&lt;=10,"Mid-Level","Senior"))</f>
        <v>Senior</v>
      </c>
      <c r="F113" s="2">
        <v>14</v>
      </c>
      <c r="G113" t="s">
        <v>59</v>
      </c>
      <c r="H113" t="s">
        <v>80</v>
      </c>
      <c r="I113" s="2" t="s">
        <v>81</v>
      </c>
      <c r="J113" s="2" t="s">
        <v>82</v>
      </c>
      <c r="K113" s="2">
        <v>3</v>
      </c>
      <c r="L113" s="2">
        <v>2021</v>
      </c>
      <c r="M113" t="s">
        <v>26</v>
      </c>
      <c r="N113" t="s">
        <v>66</v>
      </c>
      <c r="O113" t="s">
        <v>76</v>
      </c>
      <c r="P113">
        <v>8531</v>
      </c>
      <c r="Q113">
        <v>8</v>
      </c>
      <c r="R113" s="4">
        <f>(P113*(1+Q113/100))</f>
        <v>9213.4800000000014</v>
      </c>
    </row>
    <row r="114" spans="1:18" x14ac:dyDescent="0.3">
      <c r="A114" t="s">
        <v>12</v>
      </c>
      <c r="B114" t="s">
        <v>28</v>
      </c>
      <c r="C114" t="s">
        <v>34</v>
      </c>
      <c r="D114" t="s">
        <v>50</v>
      </c>
      <c r="E114" t="str">
        <f>IF(F114&lt;5,"Beginner",IF(F114&lt;=10,"Mid-Level","Senior"))</f>
        <v>Senior</v>
      </c>
      <c r="F114" s="2">
        <v>20</v>
      </c>
      <c r="G114" t="s">
        <v>56</v>
      </c>
      <c r="H114" t="s">
        <v>80</v>
      </c>
      <c r="I114" s="2" t="s">
        <v>81</v>
      </c>
      <c r="J114" s="2" t="s">
        <v>82</v>
      </c>
      <c r="K114" s="2">
        <v>3</v>
      </c>
      <c r="L114" s="2">
        <v>2023</v>
      </c>
      <c r="M114" t="s">
        <v>30</v>
      </c>
      <c r="N114" t="s">
        <v>72</v>
      </c>
      <c r="O114" t="s">
        <v>73</v>
      </c>
      <c r="P114">
        <v>9453</v>
      </c>
      <c r="Q114">
        <v>12</v>
      </c>
      <c r="R114" s="4">
        <f>(P114*(1+Q114/100))</f>
        <v>10587.36</v>
      </c>
    </row>
    <row r="115" spans="1:18" x14ac:dyDescent="0.3">
      <c r="A115" t="s">
        <v>12</v>
      </c>
      <c r="B115" t="s">
        <v>29</v>
      </c>
      <c r="C115" t="s">
        <v>38</v>
      </c>
      <c r="D115" t="s">
        <v>41</v>
      </c>
      <c r="E115" t="str">
        <f>IF(F115&lt;5,"Beginner",IF(F115&lt;=10,"Mid-Level","Senior"))</f>
        <v>Senior</v>
      </c>
      <c r="F115" s="2">
        <v>15</v>
      </c>
      <c r="G115" t="s">
        <v>59</v>
      </c>
      <c r="H115" t="s">
        <v>80</v>
      </c>
      <c r="I115" s="2" t="s">
        <v>81</v>
      </c>
      <c r="J115" s="2" t="s">
        <v>82</v>
      </c>
      <c r="K115" s="2">
        <v>3</v>
      </c>
      <c r="L115" s="2">
        <v>2021</v>
      </c>
      <c r="M115" t="s">
        <v>31</v>
      </c>
      <c r="N115" t="s">
        <v>71</v>
      </c>
      <c r="O115" t="s">
        <v>73</v>
      </c>
      <c r="P115">
        <v>7632</v>
      </c>
      <c r="Q115">
        <v>11</v>
      </c>
      <c r="R115" s="4">
        <f>(P115*(1+Q115/100))</f>
        <v>8471.52</v>
      </c>
    </row>
    <row r="116" spans="1:18" x14ac:dyDescent="0.3">
      <c r="A116" t="s">
        <v>12</v>
      </c>
      <c r="B116" t="s">
        <v>23</v>
      </c>
      <c r="C116" t="s">
        <v>5</v>
      </c>
      <c r="D116" t="s">
        <v>41</v>
      </c>
      <c r="E116" t="str">
        <f>IF(F116&lt;5,"Beginner",IF(F116&lt;=10,"Mid-Level","Senior"))</f>
        <v>Senior</v>
      </c>
      <c r="F116" s="2">
        <v>11</v>
      </c>
      <c r="G116" t="s">
        <v>54</v>
      </c>
      <c r="H116" t="s">
        <v>80</v>
      </c>
      <c r="I116" s="2" t="s">
        <v>81</v>
      </c>
      <c r="J116" s="2" t="s">
        <v>82</v>
      </c>
      <c r="K116" s="2">
        <v>3</v>
      </c>
      <c r="L116" s="2">
        <v>2025</v>
      </c>
      <c r="M116" t="s">
        <v>29</v>
      </c>
      <c r="N116" t="s">
        <v>63</v>
      </c>
      <c r="O116" t="s">
        <v>76</v>
      </c>
      <c r="P116">
        <v>5946</v>
      </c>
      <c r="Q116">
        <v>8</v>
      </c>
      <c r="R116" s="4">
        <f>(P116*(1+Q116/100))</f>
        <v>6421.68</v>
      </c>
    </row>
    <row r="117" spans="1:18" x14ac:dyDescent="0.3">
      <c r="A117" t="s">
        <v>12</v>
      </c>
      <c r="B117" t="s">
        <v>31</v>
      </c>
      <c r="C117" t="s">
        <v>5</v>
      </c>
      <c r="D117" t="s">
        <v>41</v>
      </c>
      <c r="E117" t="str">
        <f>IF(F117&lt;5,"Beginner",IF(F117&lt;=10,"Mid-Level","Senior"))</f>
        <v>Mid-Level</v>
      </c>
      <c r="F117" s="2">
        <v>6</v>
      </c>
      <c r="G117" t="s">
        <v>54</v>
      </c>
      <c r="H117" t="s">
        <v>80</v>
      </c>
      <c r="I117" s="2" t="s">
        <v>81</v>
      </c>
      <c r="J117" s="2" t="s">
        <v>82</v>
      </c>
      <c r="K117" s="2">
        <v>3</v>
      </c>
      <c r="L117" s="2">
        <v>2013</v>
      </c>
      <c r="M117" t="s">
        <v>24</v>
      </c>
      <c r="N117" t="s">
        <v>66</v>
      </c>
      <c r="O117" t="s">
        <v>73</v>
      </c>
      <c r="P117">
        <v>4552</v>
      </c>
      <c r="Q117">
        <v>9</v>
      </c>
      <c r="R117" s="4">
        <f>(P117*(1+Q117/100))</f>
        <v>4961.68</v>
      </c>
    </row>
    <row r="118" spans="1:18" x14ac:dyDescent="0.3">
      <c r="A118" t="s">
        <v>12</v>
      </c>
      <c r="B118" t="s">
        <v>25</v>
      </c>
      <c r="C118" t="s">
        <v>39</v>
      </c>
      <c r="D118" t="s">
        <v>48</v>
      </c>
      <c r="E118" t="str">
        <f>IF(F118&lt;5,"Beginner",IF(F118&lt;=10,"Mid-Level","Senior"))</f>
        <v>Beginner</v>
      </c>
      <c r="F118" s="2">
        <v>3</v>
      </c>
      <c r="G118" t="s">
        <v>54</v>
      </c>
      <c r="H118" t="s">
        <v>80</v>
      </c>
      <c r="I118" s="2" t="s">
        <v>81</v>
      </c>
      <c r="J118" s="2" t="s">
        <v>82</v>
      </c>
      <c r="K118" s="2">
        <v>3</v>
      </c>
      <c r="L118" s="2">
        <v>2011</v>
      </c>
      <c r="M118" t="s">
        <v>31</v>
      </c>
      <c r="N118" t="s">
        <v>72</v>
      </c>
      <c r="O118" t="s">
        <v>73</v>
      </c>
      <c r="P118">
        <v>9492</v>
      </c>
      <c r="Q118">
        <v>8</v>
      </c>
      <c r="R118" s="4">
        <f>(P118*(1+Q118/100))</f>
        <v>10251.36</v>
      </c>
    </row>
    <row r="119" spans="1:18" x14ac:dyDescent="0.3">
      <c r="A119" t="s">
        <v>12</v>
      </c>
      <c r="B119" t="s">
        <v>23</v>
      </c>
      <c r="C119" t="s">
        <v>37</v>
      </c>
      <c r="D119" t="s">
        <v>50</v>
      </c>
      <c r="E119" t="str">
        <f>IF(F119&lt;5,"Beginner",IF(F119&lt;=10,"Mid-Level","Senior"))</f>
        <v>Senior</v>
      </c>
      <c r="F119" s="2">
        <v>19</v>
      </c>
      <c r="G119" t="s">
        <v>55</v>
      </c>
      <c r="H119" t="s">
        <v>80</v>
      </c>
      <c r="I119" s="2" t="s">
        <v>81</v>
      </c>
      <c r="J119" s="2" t="s">
        <v>82</v>
      </c>
      <c r="K119" s="2">
        <v>3</v>
      </c>
      <c r="L119" s="2">
        <v>2024</v>
      </c>
      <c r="M119" t="s">
        <v>22</v>
      </c>
      <c r="N119" t="s">
        <v>72</v>
      </c>
      <c r="O119" t="s">
        <v>77</v>
      </c>
      <c r="P119">
        <v>5956</v>
      </c>
      <c r="Q119">
        <v>9</v>
      </c>
      <c r="R119" s="4">
        <f>(P119*(1+Q119/100))</f>
        <v>6492.0400000000009</v>
      </c>
    </row>
    <row r="120" spans="1:18" x14ac:dyDescent="0.3">
      <c r="A120" t="s">
        <v>12</v>
      </c>
      <c r="B120" t="s">
        <v>22</v>
      </c>
      <c r="C120" t="s">
        <v>34</v>
      </c>
      <c r="D120" t="s">
        <v>42</v>
      </c>
      <c r="E120" t="str">
        <f>IF(F120&lt;5,"Beginner",IF(F120&lt;=10,"Mid-Level","Senior"))</f>
        <v>Senior</v>
      </c>
      <c r="F120" s="2">
        <v>11</v>
      </c>
      <c r="G120" t="s">
        <v>54</v>
      </c>
      <c r="H120" t="s">
        <v>80</v>
      </c>
      <c r="I120" s="2" t="s">
        <v>81</v>
      </c>
      <c r="J120" s="2" t="s">
        <v>82</v>
      </c>
      <c r="K120" s="2">
        <v>3</v>
      </c>
      <c r="L120" s="2">
        <v>2015</v>
      </c>
      <c r="M120" t="s">
        <v>28</v>
      </c>
      <c r="N120" t="s">
        <v>72</v>
      </c>
      <c r="O120" t="s">
        <v>73</v>
      </c>
      <c r="P120">
        <v>8956</v>
      </c>
      <c r="Q120">
        <v>6</v>
      </c>
      <c r="R120" s="4">
        <f>(P120*(1+Q120/100))</f>
        <v>9493.36</v>
      </c>
    </row>
    <row r="121" spans="1:18" x14ac:dyDescent="0.3">
      <c r="A121" t="s">
        <v>12</v>
      </c>
      <c r="B121" t="s">
        <v>22</v>
      </c>
      <c r="C121" t="s">
        <v>37</v>
      </c>
      <c r="D121" t="s">
        <v>47</v>
      </c>
      <c r="E121" t="str">
        <f>IF(F121&lt;5,"Beginner",IF(F121&lt;=10,"Mid-Level","Senior"))</f>
        <v>Mid-Level</v>
      </c>
      <c r="F121" s="2">
        <v>8</v>
      </c>
      <c r="G121" t="s">
        <v>57</v>
      </c>
      <c r="H121" t="s">
        <v>80</v>
      </c>
      <c r="I121" s="2" t="s">
        <v>81</v>
      </c>
      <c r="J121" s="2" t="s">
        <v>82</v>
      </c>
      <c r="K121" s="2">
        <v>3</v>
      </c>
      <c r="L121" s="2">
        <v>2017</v>
      </c>
      <c r="M121" t="s">
        <v>28</v>
      </c>
      <c r="N121" t="s">
        <v>68</v>
      </c>
      <c r="O121" t="s">
        <v>75</v>
      </c>
      <c r="P121">
        <v>4920</v>
      </c>
      <c r="Q121">
        <v>8</v>
      </c>
      <c r="R121" s="4">
        <f>(P121*(1+Q121/100))</f>
        <v>5313.6</v>
      </c>
    </row>
    <row r="122" spans="1:18" x14ac:dyDescent="0.3">
      <c r="A122" t="s">
        <v>12</v>
      </c>
      <c r="B122" t="s">
        <v>28</v>
      </c>
      <c r="C122" t="s">
        <v>36</v>
      </c>
      <c r="D122" t="s">
        <v>44</v>
      </c>
      <c r="E122" t="str">
        <f>IF(F122&lt;5,"Beginner",IF(F122&lt;=10,"Mid-Level","Senior"))</f>
        <v>Senior</v>
      </c>
      <c r="F122" s="2">
        <v>12</v>
      </c>
      <c r="G122" t="s">
        <v>54</v>
      </c>
      <c r="H122" t="s">
        <v>80</v>
      </c>
      <c r="I122" s="2" t="s">
        <v>81</v>
      </c>
      <c r="J122" s="2" t="s">
        <v>82</v>
      </c>
      <c r="K122" s="2">
        <v>3</v>
      </c>
      <c r="L122" s="2">
        <v>2024</v>
      </c>
      <c r="M122" t="s">
        <v>25</v>
      </c>
      <c r="N122" t="s">
        <v>64</v>
      </c>
      <c r="O122" t="s">
        <v>74</v>
      </c>
      <c r="P122">
        <v>4967</v>
      </c>
      <c r="Q122">
        <v>6</v>
      </c>
      <c r="R122" s="4">
        <f>(P122*(1+Q122/100))</f>
        <v>5265.02</v>
      </c>
    </row>
    <row r="123" spans="1:18" x14ac:dyDescent="0.3">
      <c r="A123" t="s">
        <v>12</v>
      </c>
      <c r="B123" t="s">
        <v>25</v>
      </c>
      <c r="C123" t="s">
        <v>36</v>
      </c>
      <c r="D123" t="s">
        <v>49</v>
      </c>
      <c r="E123" t="str">
        <f>IF(F123&lt;5,"Beginner",IF(F123&lt;=10,"Mid-Level","Senior"))</f>
        <v>Mid-Level</v>
      </c>
      <c r="F123" s="2">
        <v>10</v>
      </c>
      <c r="G123" t="s">
        <v>58</v>
      </c>
      <c r="H123" t="s">
        <v>80</v>
      </c>
      <c r="I123" s="2" t="s">
        <v>81</v>
      </c>
      <c r="J123" s="2" t="s">
        <v>82</v>
      </c>
      <c r="K123" s="2">
        <v>3</v>
      </c>
      <c r="L123" s="2">
        <v>2010</v>
      </c>
      <c r="M123" t="s">
        <v>28</v>
      </c>
      <c r="N123" t="s">
        <v>71</v>
      </c>
      <c r="O123" t="s">
        <v>75</v>
      </c>
      <c r="P123">
        <v>7727</v>
      </c>
      <c r="Q123">
        <v>10</v>
      </c>
      <c r="R123" s="4">
        <f>(P123*(1+Q123/100))</f>
        <v>8499.7000000000007</v>
      </c>
    </row>
    <row r="124" spans="1:18" x14ac:dyDescent="0.3">
      <c r="A124" t="s">
        <v>12</v>
      </c>
      <c r="B124" t="s">
        <v>25</v>
      </c>
      <c r="C124" t="s">
        <v>36</v>
      </c>
      <c r="D124" t="s">
        <v>50</v>
      </c>
      <c r="E124" t="str">
        <f>IF(F124&lt;5,"Beginner",IF(F124&lt;=10,"Mid-Level","Senior"))</f>
        <v>Senior</v>
      </c>
      <c r="F124" s="2">
        <v>11</v>
      </c>
      <c r="G124" t="s">
        <v>54</v>
      </c>
      <c r="H124" t="s">
        <v>80</v>
      </c>
      <c r="I124" s="2" t="s">
        <v>81</v>
      </c>
      <c r="J124" s="2" t="s">
        <v>82</v>
      </c>
      <c r="K124" s="2">
        <v>3</v>
      </c>
      <c r="L124" s="2">
        <v>2025</v>
      </c>
      <c r="M124" t="s">
        <v>26</v>
      </c>
      <c r="N124" t="s">
        <v>66</v>
      </c>
      <c r="O124" t="s">
        <v>77</v>
      </c>
      <c r="P124">
        <v>9929</v>
      </c>
      <c r="Q124">
        <v>12</v>
      </c>
      <c r="R124" s="4">
        <f>(P124*(1+Q124/100))</f>
        <v>11120.480000000001</v>
      </c>
    </row>
    <row r="125" spans="1:18" x14ac:dyDescent="0.3">
      <c r="A125" t="s">
        <v>12</v>
      </c>
      <c r="B125" t="s">
        <v>25</v>
      </c>
      <c r="C125" t="s">
        <v>32</v>
      </c>
      <c r="D125" t="s">
        <v>43</v>
      </c>
      <c r="E125" t="str">
        <f>IF(F125&lt;5,"Beginner",IF(F125&lt;=10,"Mid-Level","Senior"))</f>
        <v>Mid-Level</v>
      </c>
      <c r="F125" s="2">
        <v>9</v>
      </c>
      <c r="G125" t="s">
        <v>55</v>
      </c>
      <c r="H125" t="s">
        <v>80</v>
      </c>
      <c r="I125" s="2" t="s">
        <v>81</v>
      </c>
      <c r="J125" s="2" t="s">
        <v>82</v>
      </c>
      <c r="K125" s="2">
        <v>3</v>
      </c>
      <c r="L125" s="2">
        <v>2015</v>
      </c>
      <c r="M125" t="s">
        <v>28</v>
      </c>
      <c r="N125" t="s">
        <v>71</v>
      </c>
      <c r="O125" t="s">
        <v>75</v>
      </c>
      <c r="P125">
        <v>4808</v>
      </c>
      <c r="Q125">
        <v>8</v>
      </c>
      <c r="R125" s="4">
        <f>(P125*(1+Q125/100))</f>
        <v>5192.6400000000003</v>
      </c>
    </row>
    <row r="126" spans="1:18" x14ac:dyDescent="0.3">
      <c r="A126" t="s">
        <v>12</v>
      </c>
      <c r="B126" t="s">
        <v>24</v>
      </c>
      <c r="C126" t="s">
        <v>39</v>
      </c>
      <c r="D126" t="s">
        <v>45</v>
      </c>
      <c r="E126" t="str">
        <f>IF(F126&lt;5,"Beginner",IF(F126&lt;=10,"Mid-Level","Senior"))</f>
        <v>Beginner</v>
      </c>
      <c r="F126" s="2">
        <v>1</v>
      </c>
      <c r="G126" t="s">
        <v>51</v>
      </c>
      <c r="H126" t="s">
        <v>80</v>
      </c>
      <c r="I126" s="2" t="s">
        <v>81</v>
      </c>
      <c r="J126" s="2" t="s">
        <v>82</v>
      </c>
      <c r="K126" s="2">
        <v>3</v>
      </c>
      <c r="L126" s="2">
        <v>2016</v>
      </c>
      <c r="M126" t="s">
        <v>26</v>
      </c>
      <c r="N126" t="s">
        <v>70</v>
      </c>
      <c r="O126" t="s">
        <v>74</v>
      </c>
      <c r="P126">
        <v>4244</v>
      </c>
      <c r="Q126">
        <v>11</v>
      </c>
      <c r="R126" s="4">
        <f>(P126*(1+Q126/100))</f>
        <v>4710.84</v>
      </c>
    </row>
    <row r="127" spans="1:18" x14ac:dyDescent="0.3">
      <c r="A127" t="s">
        <v>12</v>
      </c>
      <c r="B127" t="s">
        <v>31</v>
      </c>
      <c r="C127" t="s">
        <v>34</v>
      </c>
      <c r="D127" t="s">
        <v>42</v>
      </c>
      <c r="E127" t="str">
        <f>IF(F127&lt;5,"Beginner",IF(F127&lt;=10,"Mid-Level","Senior"))</f>
        <v>Beginner</v>
      </c>
      <c r="F127" s="2">
        <v>3</v>
      </c>
      <c r="G127" t="s">
        <v>54</v>
      </c>
      <c r="H127" t="s">
        <v>80</v>
      </c>
      <c r="I127" s="2" t="s">
        <v>81</v>
      </c>
      <c r="J127" s="2" t="s">
        <v>82</v>
      </c>
      <c r="K127" s="2">
        <v>3</v>
      </c>
      <c r="L127" s="2">
        <v>2020</v>
      </c>
      <c r="M127" t="s">
        <v>25</v>
      </c>
      <c r="N127" t="s">
        <v>68</v>
      </c>
      <c r="O127" t="s">
        <v>75</v>
      </c>
      <c r="P127">
        <v>5358</v>
      </c>
      <c r="Q127">
        <v>5</v>
      </c>
      <c r="R127" s="4">
        <f>(P127*(1+Q127/100))</f>
        <v>5625.9000000000005</v>
      </c>
    </row>
    <row r="128" spans="1:18" x14ac:dyDescent="0.3">
      <c r="A128" t="s">
        <v>12</v>
      </c>
      <c r="B128" t="s">
        <v>23</v>
      </c>
      <c r="C128" t="s">
        <v>38</v>
      </c>
      <c r="D128" t="s">
        <v>41</v>
      </c>
      <c r="E128" t="str">
        <f>IF(F128&lt;5,"Beginner",IF(F128&lt;=10,"Mid-Level","Senior"))</f>
        <v>Mid-Level</v>
      </c>
      <c r="F128" s="2">
        <v>8</v>
      </c>
      <c r="G128" t="s">
        <v>59</v>
      </c>
      <c r="H128" t="s">
        <v>80</v>
      </c>
      <c r="I128" s="2" t="s">
        <v>81</v>
      </c>
      <c r="J128" s="2" t="s">
        <v>82</v>
      </c>
      <c r="K128" s="2">
        <v>3</v>
      </c>
      <c r="L128" s="2">
        <v>2023</v>
      </c>
      <c r="M128" t="s">
        <v>22</v>
      </c>
      <c r="N128" t="s">
        <v>65</v>
      </c>
      <c r="O128" t="s">
        <v>74</v>
      </c>
      <c r="P128">
        <v>9896</v>
      </c>
      <c r="Q128">
        <v>11</v>
      </c>
      <c r="R128" s="4">
        <f>(P128*(1+Q128/100))</f>
        <v>10984.560000000001</v>
      </c>
    </row>
    <row r="129" spans="1:18" x14ac:dyDescent="0.3">
      <c r="A129" t="s">
        <v>12</v>
      </c>
      <c r="B129" t="s">
        <v>24</v>
      </c>
      <c r="C129" t="s">
        <v>5</v>
      </c>
      <c r="D129" t="s">
        <v>46</v>
      </c>
      <c r="E129" t="str">
        <f>IF(F129&lt;5,"Beginner",IF(F129&lt;=10,"Mid-Level","Senior"))</f>
        <v>Senior</v>
      </c>
      <c r="F129" s="2">
        <v>18</v>
      </c>
      <c r="G129" t="s">
        <v>56</v>
      </c>
      <c r="H129" t="s">
        <v>80</v>
      </c>
      <c r="I129" s="2" t="s">
        <v>81</v>
      </c>
      <c r="J129" s="2" t="s">
        <v>82</v>
      </c>
      <c r="K129" s="2">
        <v>3</v>
      </c>
      <c r="L129" s="2">
        <v>2021</v>
      </c>
      <c r="M129" t="s">
        <v>31</v>
      </c>
      <c r="N129" t="s">
        <v>71</v>
      </c>
      <c r="O129" t="s">
        <v>73</v>
      </c>
      <c r="P129">
        <v>6548</v>
      </c>
      <c r="Q129">
        <v>6</v>
      </c>
      <c r="R129" s="4">
        <f>(P129*(1+Q129/100))</f>
        <v>6940.88</v>
      </c>
    </row>
    <row r="130" spans="1:18" x14ac:dyDescent="0.3">
      <c r="A130" t="s">
        <v>20</v>
      </c>
      <c r="B130" t="s">
        <v>25</v>
      </c>
      <c r="C130" t="s">
        <v>37</v>
      </c>
      <c r="D130" t="s">
        <v>41</v>
      </c>
      <c r="E130" t="str">
        <f>IF(F130&lt;5,"Beginner",IF(F130&lt;=10,"Mid-Level","Senior"))</f>
        <v>Mid-Level</v>
      </c>
      <c r="F130" s="2">
        <v>10</v>
      </c>
      <c r="G130" t="s">
        <v>58</v>
      </c>
      <c r="H130" t="s">
        <v>112</v>
      </c>
      <c r="I130" s="2" t="s">
        <v>113</v>
      </c>
      <c r="J130" s="2" t="s">
        <v>114</v>
      </c>
      <c r="K130" s="2">
        <v>3</v>
      </c>
      <c r="L130" s="2">
        <v>2022</v>
      </c>
      <c r="M130" t="s">
        <v>22</v>
      </c>
      <c r="N130" t="s">
        <v>66</v>
      </c>
      <c r="O130" t="s">
        <v>75</v>
      </c>
      <c r="P130">
        <v>7411</v>
      </c>
      <c r="Q130">
        <v>6</v>
      </c>
      <c r="R130" s="4">
        <f>(P130*(1+Q130/100))</f>
        <v>7855.6600000000008</v>
      </c>
    </row>
    <row r="131" spans="1:18" x14ac:dyDescent="0.3">
      <c r="A131" t="s">
        <v>20</v>
      </c>
      <c r="B131" t="s">
        <v>22</v>
      </c>
      <c r="C131" t="s">
        <v>35</v>
      </c>
      <c r="D131" t="s">
        <v>45</v>
      </c>
      <c r="E131" t="str">
        <f>IF(F131&lt;5,"Beginner",IF(F131&lt;=10,"Mid-Level","Senior"))</f>
        <v>Senior</v>
      </c>
      <c r="F131" s="2">
        <v>18</v>
      </c>
      <c r="G131" t="s">
        <v>52</v>
      </c>
      <c r="H131" t="s">
        <v>112</v>
      </c>
      <c r="I131" s="2" t="s">
        <v>113</v>
      </c>
      <c r="J131" s="2" t="s">
        <v>114</v>
      </c>
      <c r="K131" s="2">
        <v>3</v>
      </c>
      <c r="L131" s="2">
        <v>2014</v>
      </c>
      <c r="M131" t="s">
        <v>24</v>
      </c>
      <c r="N131" t="s">
        <v>71</v>
      </c>
      <c r="O131" t="s">
        <v>75</v>
      </c>
      <c r="P131">
        <v>10515</v>
      </c>
      <c r="Q131">
        <v>8</v>
      </c>
      <c r="R131" s="4">
        <f>(P131*(1+Q131/100))</f>
        <v>11356.2</v>
      </c>
    </row>
    <row r="132" spans="1:18" x14ac:dyDescent="0.3">
      <c r="A132" t="s">
        <v>20</v>
      </c>
      <c r="B132" t="s">
        <v>24</v>
      </c>
      <c r="C132" t="s">
        <v>32</v>
      </c>
      <c r="D132" t="s">
        <v>45</v>
      </c>
      <c r="E132" t="str">
        <f>IF(F132&lt;5,"Beginner",IF(F132&lt;=10,"Mid-Level","Senior"))</f>
        <v>Senior</v>
      </c>
      <c r="F132" s="2">
        <v>18</v>
      </c>
      <c r="G132" t="s">
        <v>53</v>
      </c>
      <c r="H132" t="s">
        <v>112</v>
      </c>
      <c r="I132" s="2" t="s">
        <v>113</v>
      </c>
      <c r="J132" s="2" t="s">
        <v>114</v>
      </c>
      <c r="K132" s="2">
        <v>3</v>
      </c>
      <c r="L132" s="2">
        <v>2024</v>
      </c>
      <c r="M132" t="s">
        <v>31</v>
      </c>
      <c r="N132" t="s">
        <v>70</v>
      </c>
      <c r="O132" t="s">
        <v>77</v>
      </c>
      <c r="P132">
        <v>7059</v>
      </c>
      <c r="Q132">
        <v>7</v>
      </c>
      <c r="R132" s="4">
        <f>(P132*(1+Q132/100))</f>
        <v>7553.13</v>
      </c>
    </row>
    <row r="133" spans="1:18" x14ac:dyDescent="0.3">
      <c r="A133" t="s">
        <v>20</v>
      </c>
      <c r="B133" t="s">
        <v>24</v>
      </c>
      <c r="C133" t="s">
        <v>5</v>
      </c>
      <c r="D133" t="s">
        <v>43</v>
      </c>
      <c r="E133" t="str">
        <f>IF(F133&lt;5,"Beginner",IF(F133&lt;=10,"Mid-Level","Senior"))</f>
        <v>Senior</v>
      </c>
      <c r="F133" s="2">
        <v>12</v>
      </c>
      <c r="G133" t="s">
        <v>53</v>
      </c>
      <c r="H133" t="s">
        <v>112</v>
      </c>
      <c r="I133" s="2" t="s">
        <v>113</v>
      </c>
      <c r="J133" s="2" t="s">
        <v>114</v>
      </c>
      <c r="K133" s="2">
        <v>3</v>
      </c>
      <c r="L133" s="2">
        <v>2018</v>
      </c>
      <c r="M133" t="s">
        <v>26</v>
      </c>
      <c r="N133" t="s">
        <v>66</v>
      </c>
      <c r="O133" t="s">
        <v>73</v>
      </c>
      <c r="P133">
        <v>6384</v>
      </c>
      <c r="Q133">
        <v>12</v>
      </c>
      <c r="R133" s="4">
        <f>(P133*(1+Q133/100))</f>
        <v>7150.0800000000008</v>
      </c>
    </row>
    <row r="134" spans="1:18" x14ac:dyDescent="0.3">
      <c r="A134" t="s">
        <v>20</v>
      </c>
      <c r="B134" t="s">
        <v>31</v>
      </c>
      <c r="C134" t="s">
        <v>39</v>
      </c>
      <c r="D134" t="s">
        <v>47</v>
      </c>
      <c r="E134" t="str">
        <f>IF(F134&lt;5,"Beginner",IF(F134&lt;=10,"Mid-Level","Senior"))</f>
        <v>Mid-Level</v>
      </c>
      <c r="F134" s="2">
        <v>7</v>
      </c>
      <c r="G134" t="s">
        <v>51</v>
      </c>
      <c r="H134" t="s">
        <v>112</v>
      </c>
      <c r="I134" s="2" t="s">
        <v>113</v>
      </c>
      <c r="J134" s="2" t="s">
        <v>114</v>
      </c>
      <c r="K134" s="2">
        <v>3</v>
      </c>
      <c r="L134" s="2">
        <v>2018</v>
      </c>
      <c r="M134" t="s">
        <v>23</v>
      </c>
      <c r="N134" t="s">
        <v>68</v>
      </c>
      <c r="O134" t="s">
        <v>76</v>
      </c>
      <c r="P134">
        <v>6282</v>
      </c>
      <c r="Q134">
        <v>11</v>
      </c>
      <c r="R134" s="4">
        <f>(P134*(1+Q134/100))</f>
        <v>6973.02</v>
      </c>
    </row>
    <row r="135" spans="1:18" x14ac:dyDescent="0.3">
      <c r="A135" t="s">
        <v>20</v>
      </c>
      <c r="B135" t="s">
        <v>30</v>
      </c>
      <c r="C135" t="s">
        <v>38</v>
      </c>
      <c r="D135" t="s">
        <v>41</v>
      </c>
      <c r="E135" t="str">
        <f>IF(F135&lt;5,"Beginner",IF(F135&lt;=10,"Mid-Level","Senior"))</f>
        <v>Senior</v>
      </c>
      <c r="F135" s="2">
        <v>14</v>
      </c>
      <c r="G135" t="s">
        <v>55</v>
      </c>
      <c r="H135" t="s">
        <v>112</v>
      </c>
      <c r="I135" s="2" t="s">
        <v>113</v>
      </c>
      <c r="J135" s="2" t="s">
        <v>114</v>
      </c>
      <c r="K135" s="2">
        <v>3</v>
      </c>
      <c r="L135" s="2">
        <v>2024</v>
      </c>
      <c r="M135" t="s">
        <v>24</v>
      </c>
      <c r="N135" t="s">
        <v>63</v>
      </c>
      <c r="O135" t="s">
        <v>76</v>
      </c>
      <c r="P135">
        <v>7353</v>
      </c>
      <c r="Q135">
        <v>9</v>
      </c>
      <c r="R135" s="4">
        <f>(P135*(1+Q135/100))</f>
        <v>8014.77</v>
      </c>
    </row>
    <row r="136" spans="1:18" x14ac:dyDescent="0.3">
      <c r="A136" t="s">
        <v>20</v>
      </c>
      <c r="B136" t="s">
        <v>23</v>
      </c>
      <c r="C136" t="s">
        <v>32</v>
      </c>
      <c r="D136" t="s">
        <v>43</v>
      </c>
      <c r="E136" t="str">
        <f>IF(F136&lt;5,"Beginner",IF(F136&lt;=10,"Mid-Level","Senior"))</f>
        <v>Senior</v>
      </c>
      <c r="F136" s="2">
        <v>13</v>
      </c>
      <c r="G136" t="s">
        <v>59</v>
      </c>
      <c r="H136" t="s">
        <v>112</v>
      </c>
      <c r="I136" s="2" t="s">
        <v>113</v>
      </c>
      <c r="J136" s="2" t="s">
        <v>114</v>
      </c>
      <c r="K136" s="2">
        <v>3</v>
      </c>
      <c r="L136" s="2">
        <v>2012</v>
      </c>
      <c r="M136" t="s">
        <v>29</v>
      </c>
      <c r="N136" t="s">
        <v>63</v>
      </c>
      <c r="O136" t="s">
        <v>73</v>
      </c>
      <c r="P136">
        <v>5598</v>
      </c>
      <c r="Q136">
        <v>5</v>
      </c>
      <c r="R136" s="4">
        <f>(P136*(1+Q136/100))</f>
        <v>5877.9000000000005</v>
      </c>
    </row>
    <row r="137" spans="1:18" x14ac:dyDescent="0.3">
      <c r="A137" t="s">
        <v>20</v>
      </c>
      <c r="B137" t="s">
        <v>28</v>
      </c>
      <c r="C137" t="s">
        <v>33</v>
      </c>
      <c r="D137" t="s">
        <v>43</v>
      </c>
      <c r="E137" t="str">
        <f>IF(F137&lt;5,"Beginner",IF(F137&lt;=10,"Mid-Level","Senior"))</f>
        <v>Senior</v>
      </c>
      <c r="F137" s="2">
        <v>17</v>
      </c>
      <c r="G137" t="s">
        <v>51</v>
      </c>
      <c r="H137" t="s">
        <v>112</v>
      </c>
      <c r="I137" s="2" t="s">
        <v>113</v>
      </c>
      <c r="J137" s="2" t="s">
        <v>114</v>
      </c>
      <c r="K137" s="2">
        <v>3</v>
      </c>
      <c r="L137" s="2">
        <v>2021</v>
      </c>
      <c r="M137" t="s">
        <v>24</v>
      </c>
      <c r="N137" t="s">
        <v>69</v>
      </c>
      <c r="O137" t="s">
        <v>74</v>
      </c>
      <c r="P137">
        <v>5036</v>
      </c>
      <c r="Q137">
        <v>10</v>
      </c>
      <c r="R137" s="4">
        <f>(P137*(1+Q137/100))</f>
        <v>5539.6</v>
      </c>
    </row>
    <row r="138" spans="1:18" x14ac:dyDescent="0.3">
      <c r="A138" t="s">
        <v>20</v>
      </c>
      <c r="B138" t="s">
        <v>23</v>
      </c>
      <c r="C138" t="s">
        <v>36</v>
      </c>
      <c r="D138" t="s">
        <v>43</v>
      </c>
      <c r="E138" t="str">
        <f>IF(F138&lt;5,"Beginner",IF(F138&lt;=10,"Mid-Level","Senior"))</f>
        <v>Senior</v>
      </c>
      <c r="F138" s="2">
        <v>11</v>
      </c>
      <c r="G138" t="s">
        <v>55</v>
      </c>
      <c r="H138" t="s">
        <v>112</v>
      </c>
      <c r="I138" s="2" t="s">
        <v>113</v>
      </c>
      <c r="J138" s="2" t="s">
        <v>114</v>
      </c>
      <c r="K138" s="2">
        <v>3</v>
      </c>
      <c r="L138" s="2">
        <v>2020</v>
      </c>
      <c r="M138" t="s">
        <v>31</v>
      </c>
      <c r="N138" t="s">
        <v>70</v>
      </c>
      <c r="O138" t="s">
        <v>76</v>
      </c>
      <c r="P138">
        <v>5526</v>
      </c>
      <c r="Q138">
        <v>5</v>
      </c>
      <c r="R138" s="4">
        <f>(P138*(1+Q138/100))</f>
        <v>5802.3</v>
      </c>
    </row>
    <row r="139" spans="1:18" x14ac:dyDescent="0.3">
      <c r="A139" t="s">
        <v>20</v>
      </c>
      <c r="B139" t="s">
        <v>27</v>
      </c>
      <c r="C139" t="s">
        <v>34</v>
      </c>
      <c r="D139" t="s">
        <v>44</v>
      </c>
      <c r="E139" t="str">
        <f>IF(F139&lt;5,"Beginner",IF(F139&lt;=10,"Mid-Level","Senior"))</f>
        <v>Senior</v>
      </c>
      <c r="F139" s="2">
        <v>12</v>
      </c>
      <c r="G139" t="s">
        <v>59</v>
      </c>
      <c r="H139" t="s">
        <v>112</v>
      </c>
      <c r="I139" s="2" t="s">
        <v>113</v>
      </c>
      <c r="J139" s="2" t="s">
        <v>114</v>
      </c>
      <c r="K139" s="2">
        <v>3</v>
      </c>
      <c r="L139" s="2">
        <v>2019</v>
      </c>
      <c r="M139" t="s">
        <v>24</v>
      </c>
      <c r="N139" t="s">
        <v>63</v>
      </c>
      <c r="O139" t="s">
        <v>73</v>
      </c>
      <c r="P139">
        <v>10458</v>
      </c>
      <c r="Q139">
        <v>11</v>
      </c>
      <c r="R139" s="4">
        <f>(P139*(1+Q139/100))</f>
        <v>11608.380000000001</v>
      </c>
    </row>
    <row r="140" spans="1:18" x14ac:dyDescent="0.3">
      <c r="A140" t="s">
        <v>20</v>
      </c>
      <c r="B140" t="s">
        <v>30</v>
      </c>
      <c r="C140" t="s">
        <v>33</v>
      </c>
      <c r="D140" t="s">
        <v>47</v>
      </c>
      <c r="E140" t="str">
        <f>IF(F140&lt;5,"Beginner",IF(F140&lt;=10,"Mid-Level","Senior"))</f>
        <v>Senior</v>
      </c>
      <c r="F140" s="2">
        <v>17</v>
      </c>
      <c r="G140" t="s">
        <v>59</v>
      </c>
      <c r="H140" t="s">
        <v>112</v>
      </c>
      <c r="I140" s="2" t="s">
        <v>113</v>
      </c>
      <c r="J140" s="2" t="s">
        <v>114</v>
      </c>
      <c r="K140" s="2">
        <v>3</v>
      </c>
      <c r="L140" s="2">
        <v>2021</v>
      </c>
      <c r="M140" t="s">
        <v>31</v>
      </c>
      <c r="N140" t="s">
        <v>67</v>
      </c>
      <c r="O140" t="s">
        <v>75</v>
      </c>
      <c r="P140">
        <v>5716</v>
      </c>
      <c r="Q140">
        <v>10</v>
      </c>
      <c r="R140" s="4">
        <f>(P140*(1+Q140/100))</f>
        <v>6287.6</v>
      </c>
    </row>
    <row r="141" spans="1:18" x14ac:dyDescent="0.3">
      <c r="A141" t="s">
        <v>20</v>
      </c>
      <c r="B141" t="s">
        <v>22</v>
      </c>
      <c r="C141" t="s">
        <v>40</v>
      </c>
      <c r="D141" t="s">
        <v>43</v>
      </c>
      <c r="E141" t="str">
        <f>IF(F141&lt;5,"Beginner",IF(F141&lt;=10,"Mid-Level","Senior"))</f>
        <v>Mid-Level</v>
      </c>
      <c r="F141" s="2">
        <v>9</v>
      </c>
      <c r="G141" t="s">
        <v>52</v>
      </c>
      <c r="H141" t="s">
        <v>112</v>
      </c>
      <c r="I141" s="2" t="s">
        <v>113</v>
      </c>
      <c r="J141" s="2" t="s">
        <v>114</v>
      </c>
      <c r="K141" s="2">
        <v>3</v>
      </c>
      <c r="L141" s="2">
        <v>2014</v>
      </c>
      <c r="M141" t="s">
        <v>27</v>
      </c>
      <c r="N141" t="s">
        <v>72</v>
      </c>
      <c r="O141" t="s">
        <v>77</v>
      </c>
      <c r="P141">
        <v>8656</v>
      </c>
      <c r="Q141">
        <v>5</v>
      </c>
      <c r="R141" s="4">
        <f>(P141*(1+Q141/100))</f>
        <v>9088.8000000000011</v>
      </c>
    </row>
    <row r="142" spans="1:18" x14ac:dyDescent="0.3">
      <c r="A142" t="s">
        <v>20</v>
      </c>
      <c r="B142" t="s">
        <v>22</v>
      </c>
      <c r="C142" t="s">
        <v>5</v>
      </c>
      <c r="D142" t="s">
        <v>43</v>
      </c>
      <c r="E142" t="str">
        <f>IF(F142&lt;5,"Beginner",IF(F142&lt;=10,"Mid-Level","Senior"))</f>
        <v>Mid-Level</v>
      </c>
      <c r="F142" s="2">
        <v>5</v>
      </c>
      <c r="G142" t="s">
        <v>53</v>
      </c>
      <c r="H142" t="s">
        <v>112</v>
      </c>
      <c r="I142" s="2" t="s">
        <v>113</v>
      </c>
      <c r="J142" s="2" t="s">
        <v>114</v>
      </c>
      <c r="K142" s="2">
        <v>3</v>
      </c>
      <c r="L142" s="2">
        <v>2020</v>
      </c>
      <c r="M142" t="s">
        <v>24</v>
      </c>
      <c r="N142" t="s">
        <v>64</v>
      </c>
      <c r="O142" t="s">
        <v>77</v>
      </c>
      <c r="P142">
        <v>6054</v>
      </c>
      <c r="Q142">
        <v>6</v>
      </c>
      <c r="R142" s="4">
        <f>(P142*(1+Q142/100))</f>
        <v>6417.2400000000007</v>
      </c>
    </row>
    <row r="143" spans="1:18" x14ac:dyDescent="0.3">
      <c r="A143" t="s">
        <v>20</v>
      </c>
      <c r="B143" t="s">
        <v>29</v>
      </c>
      <c r="C143" t="s">
        <v>5</v>
      </c>
      <c r="D143" t="s">
        <v>42</v>
      </c>
      <c r="E143" t="str">
        <f>IF(F143&lt;5,"Beginner",IF(F143&lt;=10,"Mid-Level","Senior"))</f>
        <v>Senior</v>
      </c>
      <c r="F143" s="2">
        <v>14</v>
      </c>
      <c r="G143" t="s">
        <v>56</v>
      </c>
      <c r="H143" t="s">
        <v>112</v>
      </c>
      <c r="I143" s="2" t="s">
        <v>113</v>
      </c>
      <c r="J143" s="2" t="s">
        <v>114</v>
      </c>
      <c r="K143" s="2">
        <v>3</v>
      </c>
      <c r="L143" s="2">
        <v>2011</v>
      </c>
      <c r="M143" t="s">
        <v>31</v>
      </c>
      <c r="N143" t="s">
        <v>65</v>
      </c>
      <c r="O143" t="s">
        <v>74</v>
      </c>
      <c r="P143">
        <v>8271</v>
      </c>
      <c r="Q143">
        <v>9</v>
      </c>
      <c r="R143" s="4">
        <f>(P143*(1+Q143/100))</f>
        <v>9015.3900000000012</v>
      </c>
    </row>
    <row r="144" spans="1:18" x14ac:dyDescent="0.3">
      <c r="A144" t="s">
        <v>20</v>
      </c>
      <c r="B144" t="s">
        <v>24</v>
      </c>
      <c r="C144" t="s">
        <v>32</v>
      </c>
      <c r="D144" t="s">
        <v>43</v>
      </c>
      <c r="E144" t="str">
        <f>IF(F144&lt;5,"Beginner",IF(F144&lt;=10,"Mid-Level","Senior"))</f>
        <v>Senior</v>
      </c>
      <c r="F144" s="2">
        <v>14</v>
      </c>
      <c r="G144" t="s">
        <v>58</v>
      </c>
      <c r="H144" t="s">
        <v>112</v>
      </c>
      <c r="I144" s="2" t="s">
        <v>113</v>
      </c>
      <c r="J144" s="2" t="s">
        <v>114</v>
      </c>
      <c r="K144" s="2">
        <v>3</v>
      </c>
      <c r="L144" s="2">
        <v>2020</v>
      </c>
      <c r="M144" t="s">
        <v>31</v>
      </c>
      <c r="N144" t="s">
        <v>72</v>
      </c>
      <c r="O144" t="s">
        <v>73</v>
      </c>
      <c r="P144">
        <v>9586</v>
      </c>
      <c r="Q144">
        <v>6</v>
      </c>
      <c r="R144" s="4">
        <f>(P144*(1+Q144/100))</f>
        <v>10161.16</v>
      </c>
    </row>
    <row r="145" spans="1:18" x14ac:dyDescent="0.3">
      <c r="A145" t="s">
        <v>20</v>
      </c>
      <c r="B145" t="s">
        <v>31</v>
      </c>
      <c r="C145" t="s">
        <v>37</v>
      </c>
      <c r="D145" t="s">
        <v>48</v>
      </c>
      <c r="E145" t="str">
        <f>IF(F145&lt;5,"Beginner",IF(F145&lt;=10,"Mid-Level","Senior"))</f>
        <v>Mid-Level</v>
      </c>
      <c r="F145" s="2">
        <v>8</v>
      </c>
      <c r="G145" t="s">
        <v>58</v>
      </c>
      <c r="H145" t="s">
        <v>112</v>
      </c>
      <c r="I145" s="2" t="s">
        <v>113</v>
      </c>
      <c r="J145" s="2" t="s">
        <v>114</v>
      </c>
      <c r="K145" s="2">
        <v>3</v>
      </c>
      <c r="L145" s="2">
        <v>2016</v>
      </c>
      <c r="M145" t="s">
        <v>29</v>
      </c>
      <c r="N145" t="s">
        <v>71</v>
      </c>
      <c r="O145" t="s">
        <v>74</v>
      </c>
      <c r="P145">
        <v>7587</v>
      </c>
      <c r="Q145">
        <v>9</v>
      </c>
      <c r="R145" s="4">
        <f>(P145*(1+Q145/100))</f>
        <v>8269.83</v>
      </c>
    </row>
    <row r="146" spans="1:18" x14ac:dyDescent="0.3">
      <c r="A146" t="s">
        <v>20</v>
      </c>
      <c r="B146" t="s">
        <v>24</v>
      </c>
      <c r="C146" t="s">
        <v>34</v>
      </c>
      <c r="D146" t="s">
        <v>47</v>
      </c>
      <c r="E146" t="str">
        <f>IF(F146&lt;5,"Beginner",IF(F146&lt;=10,"Mid-Level","Senior"))</f>
        <v>Senior</v>
      </c>
      <c r="F146" s="2">
        <v>17</v>
      </c>
      <c r="G146" t="s">
        <v>55</v>
      </c>
      <c r="H146" t="s">
        <v>112</v>
      </c>
      <c r="I146" s="2" t="s">
        <v>113</v>
      </c>
      <c r="J146" s="2" t="s">
        <v>114</v>
      </c>
      <c r="K146" s="2">
        <v>3</v>
      </c>
      <c r="L146" s="2">
        <v>2012</v>
      </c>
      <c r="M146" t="s">
        <v>31</v>
      </c>
      <c r="N146" t="s">
        <v>65</v>
      </c>
      <c r="O146" t="s">
        <v>73</v>
      </c>
      <c r="P146">
        <v>6260</v>
      </c>
      <c r="Q146">
        <v>5</v>
      </c>
      <c r="R146" s="4">
        <f>(P146*(1+Q146/100))</f>
        <v>6573</v>
      </c>
    </row>
    <row r="147" spans="1:18" x14ac:dyDescent="0.3">
      <c r="A147" t="s">
        <v>20</v>
      </c>
      <c r="B147" t="s">
        <v>26</v>
      </c>
      <c r="C147" t="s">
        <v>32</v>
      </c>
      <c r="D147" t="s">
        <v>49</v>
      </c>
      <c r="E147" t="str">
        <f>IF(F147&lt;5,"Beginner",IF(F147&lt;=10,"Mid-Level","Senior"))</f>
        <v>Senior</v>
      </c>
      <c r="F147" s="2">
        <v>20</v>
      </c>
      <c r="G147" t="s">
        <v>52</v>
      </c>
      <c r="H147" t="s">
        <v>112</v>
      </c>
      <c r="I147" s="2" t="s">
        <v>113</v>
      </c>
      <c r="J147" s="2" t="s">
        <v>114</v>
      </c>
      <c r="K147" s="2">
        <v>3</v>
      </c>
      <c r="L147" s="2">
        <v>2013</v>
      </c>
      <c r="M147" t="s">
        <v>22</v>
      </c>
      <c r="N147" t="s">
        <v>67</v>
      </c>
      <c r="O147" t="s">
        <v>74</v>
      </c>
      <c r="P147">
        <v>7873</v>
      </c>
      <c r="Q147">
        <v>7</v>
      </c>
      <c r="R147" s="4">
        <f>(P147*(1+Q147/100))</f>
        <v>8424.11</v>
      </c>
    </row>
    <row r="148" spans="1:18" x14ac:dyDescent="0.3">
      <c r="A148" t="s">
        <v>20</v>
      </c>
      <c r="B148" t="s">
        <v>25</v>
      </c>
      <c r="C148" t="s">
        <v>35</v>
      </c>
      <c r="D148" t="s">
        <v>48</v>
      </c>
      <c r="E148" t="str">
        <f>IF(F148&lt;5,"Beginner",IF(F148&lt;=10,"Mid-Level","Senior"))</f>
        <v>Senior</v>
      </c>
      <c r="F148" s="2">
        <v>18</v>
      </c>
      <c r="G148" t="s">
        <v>52</v>
      </c>
      <c r="H148" t="s">
        <v>112</v>
      </c>
      <c r="I148" s="2" t="s">
        <v>113</v>
      </c>
      <c r="J148" s="2" t="s">
        <v>114</v>
      </c>
      <c r="K148" s="2">
        <v>3</v>
      </c>
      <c r="L148" s="2">
        <v>2015</v>
      </c>
      <c r="M148" t="s">
        <v>27</v>
      </c>
      <c r="N148" t="s">
        <v>63</v>
      </c>
      <c r="O148" t="s">
        <v>76</v>
      </c>
      <c r="P148">
        <v>6746</v>
      </c>
      <c r="Q148">
        <v>12</v>
      </c>
      <c r="R148" s="4">
        <f>(P148*(1+Q148/100))</f>
        <v>7555.52</v>
      </c>
    </row>
    <row r="149" spans="1:18" x14ac:dyDescent="0.3">
      <c r="A149" t="s">
        <v>20</v>
      </c>
      <c r="B149" t="s">
        <v>29</v>
      </c>
      <c r="C149" t="s">
        <v>38</v>
      </c>
      <c r="D149" t="s">
        <v>49</v>
      </c>
      <c r="E149" t="str">
        <f>IF(F149&lt;5,"Beginner",IF(F149&lt;=10,"Mid-Level","Senior"))</f>
        <v>Senior</v>
      </c>
      <c r="F149" s="2">
        <v>17</v>
      </c>
      <c r="G149" t="s">
        <v>51</v>
      </c>
      <c r="H149" t="s">
        <v>112</v>
      </c>
      <c r="I149" s="2" t="s">
        <v>113</v>
      </c>
      <c r="J149" s="2" t="s">
        <v>114</v>
      </c>
      <c r="K149" s="2">
        <v>3</v>
      </c>
      <c r="L149" s="2">
        <v>2018</v>
      </c>
      <c r="M149" t="s">
        <v>23</v>
      </c>
      <c r="N149" t="s">
        <v>69</v>
      </c>
      <c r="O149" t="s">
        <v>74</v>
      </c>
      <c r="P149">
        <v>7927</v>
      </c>
      <c r="Q149">
        <v>10</v>
      </c>
      <c r="R149" s="4">
        <f>(P149*(1+Q149/100))</f>
        <v>8719.7000000000007</v>
      </c>
    </row>
    <row r="150" spans="1:18" x14ac:dyDescent="0.3">
      <c r="A150" t="s">
        <v>20</v>
      </c>
      <c r="B150" t="s">
        <v>27</v>
      </c>
      <c r="C150" t="s">
        <v>40</v>
      </c>
      <c r="D150" t="s">
        <v>45</v>
      </c>
      <c r="E150" t="str">
        <f>IF(F150&lt;5,"Beginner",IF(F150&lt;=10,"Mid-Level","Senior"))</f>
        <v>Senior</v>
      </c>
      <c r="F150" s="2">
        <v>19</v>
      </c>
      <c r="G150" t="s">
        <v>52</v>
      </c>
      <c r="H150" t="s">
        <v>112</v>
      </c>
      <c r="I150" s="2" t="s">
        <v>113</v>
      </c>
      <c r="J150" s="2" t="s">
        <v>114</v>
      </c>
      <c r="K150" s="2">
        <v>3</v>
      </c>
      <c r="L150" s="2">
        <v>2018</v>
      </c>
      <c r="M150" t="s">
        <v>25</v>
      </c>
      <c r="N150" t="s">
        <v>69</v>
      </c>
      <c r="O150" t="s">
        <v>77</v>
      </c>
      <c r="P150">
        <v>8244</v>
      </c>
      <c r="Q150">
        <v>8</v>
      </c>
      <c r="R150" s="4">
        <f>(P150*(1+Q150/100))</f>
        <v>8903.52</v>
      </c>
    </row>
    <row r="151" spans="1:18" x14ac:dyDescent="0.3">
      <c r="A151" t="s">
        <v>20</v>
      </c>
      <c r="B151" t="s">
        <v>29</v>
      </c>
      <c r="C151" t="s">
        <v>37</v>
      </c>
      <c r="D151" t="s">
        <v>50</v>
      </c>
      <c r="E151" t="str">
        <f>IF(F151&lt;5,"Beginner",IF(F151&lt;=10,"Mid-Level","Senior"))</f>
        <v>Senior</v>
      </c>
      <c r="F151" s="2">
        <v>18</v>
      </c>
      <c r="G151" t="s">
        <v>54</v>
      </c>
      <c r="H151" t="s">
        <v>121</v>
      </c>
      <c r="I151" s="2" t="s">
        <v>122</v>
      </c>
      <c r="J151" s="2" t="s">
        <v>134</v>
      </c>
      <c r="K151" s="2">
        <v>2</v>
      </c>
      <c r="L151" s="2">
        <v>2014</v>
      </c>
      <c r="M151" t="s">
        <v>24</v>
      </c>
      <c r="N151" t="s">
        <v>71</v>
      </c>
      <c r="O151" t="s">
        <v>73</v>
      </c>
      <c r="P151">
        <v>9160</v>
      </c>
      <c r="Q151">
        <v>7</v>
      </c>
      <c r="R151" s="4">
        <f>(P151*(1+Q151/100))</f>
        <v>9801.2000000000007</v>
      </c>
    </row>
    <row r="152" spans="1:18" x14ac:dyDescent="0.3">
      <c r="A152" t="s">
        <v>20</v>
      </c>
      <c r="B152" t="s">
        <v>26</v>
      </c>
      <c r="C152" t="s">
        <v>32</v>
      </c>
      <c r="D152" t="s">
        <v>47</v>
      </c>
      <c r="E152" t="str">
        <f>IF(F152&lt;5,"Beginner",IF(F152&lt;=10,"Mid-Level","Senior"))</f>
        <v>Beginner</v>
      </c>
      <c r="F152" s="2">
        <v>3</v>
      </c>
      <c r="G152" t="s">
        <v>51</v>
      </c>
      <c r="H152" t="s">
        <v>121</v>
      </c>
      <c r="I152" s="2" t="s">
        <v>122</v>
      </c>
      <c r="J152" s="2" t="s">
        <v>134</v>
      </c>
      <c r="K152" s="2">
        <v>2</v>
      </c>
      <c r="L152" s="2">
        <v>2013</v>
      </c>
      <c r="M152" t="s">
        <v>25</v>
      </c>
      <c r="N152" t="s">
        <v>64</v>
      </c>
      <c r="O152" t="s">
        <v>73</v>
      </c>
      <c r="P152">
        <v>10750</v>
      </c>
      <c r="Q152">
        <v>12</v>
      </c>
      <c r="R152" s="4">
        <f>(P152*(1+Q152/100))</f>
        <v>12040.000000000002</v>
      </c>
    </row>
    <row r="153" spans="1:18" x14ac:dyDescent="0.3">
      <c r="A153" t="s">
        <v>20</v>
      </c>
      <c r="B153" t="s">
        <v>30</v>
      </c>
      <c r="C153" t="s">
        <v>40</v>
      </c>
      <c r="D153" t="s">
        <v>47</v>
      </c>
      <c r="E153" t="str">
        <f>IF(F153&lt;5,"Beginner",IF(F153&lt;=10,"Mid-Level","Senior"))</f>
        <v>Beginner</v>
      </c>
      <c r="F153" s="2">
        <v>2</v>
      </c>
      <c r="G153" t="s">
        <v>55</v>
      </c>
      <c r="H153" t="s">
        <v>121</v>
      </c>
      <c r="I153" s="2" t="s">
        <v>122</v>
      </c>
      <c r="J153" s="2" t="s">
        <v>134</v>
      </c>
      <c r="K153" s="2">
        <v>2</v>
      </c>
      <c r="L153" s="2">
        <v>2015</v>
      </c>
      <c r="M153" t="s">
        <v>26</v>
      </c>
      <c r="N153" t="s">
        <v>63</v>
      </c>
      <c r="O153" t="s">
        <v>74</v>
      </c>
      <c r="P153">
        <v>8003</v>
      </c>
      <c r="Q153">
        <v>12</v>
      </c>
      <c r="R153" s="4">
        <f>(P153*(1+Q153/100))</f>
        <v>8963.36</v>
      </c>
    </row>
    <row r="154" spans="1:18" x14ac:dyDescent="0.3">
      <c r="A154" t="s">
        <v>20</v>
      </c>
      <c r="B154" t="s">
        <v>28</v>
      </c>
      <c r="C154" t="s">
        <v>37</v>
      </c>
      <c r="D154" t="s">
        <v>43</v>
      </c>
      <c r="E154" t="str">
        <f>IF(F154&lt;5,"Beginner",IF(F154&lt;=10,"Mid-Level","Senior"))</f>
        <v>Mid-Level</v>
      </c>
      <c r="F154" s="2">
        <v>8</v>
      </c>
      <c r="G154" t="s">
        <v>57</v>
      </c>
      <c r="H154" t="s">
        <v>121</v>
      </c>
      <c r="I154" s="2" t="s">
        <v>122</v>
      </c>
      <c r="J154" s="2" t="s">
        <v>134</v>
      </c>
      <c r="K154" s="2">
        <v>2</v>
      </c>
      <c r="L154" s="2">
        <v>2017</v>
      </c>
      <c r="M154" t="s">
        <v>31</v>
      </c>
      <c r="N154" t="s">
        <v>66</v>
      </c>
      <c r="O154" t="s">
        <v>76</v>
      </c>
      <c r="P154">
        <v>10141</v>
      </c>
      <c r="Q154">
        <v>8</v>
      </c>
      <c r="R154" s="4">
        <f>(P154*(1+Q154/100))</f>
        <v>10952.28</v>
      </c>
    </row>
    <row r="155" spans="1:18" x14ac:dyDescent="0.3">
      <c r="A155" t="s">
        <v>20</v>
      </c>
      <c r="B155" t="s">
        <v>22</v>
      </c>
      <c r="C155" t="s">
        <v>5</v>
      </c>
      <c r="D155" t="s">
        <v>42</v>
      </c>
      <c r="E155" t="str">
        <f>IF(F155&lt;5,"Beginner",IF(F155&lt;=10,"Mid-Level","Senior"))</f>
        <v>Mid-Level</v>
      </c>
      <c r="F155" s="2">
        <v>10</v>
      </c>
      <c r="G155" t="s">
        <v>55</v>
      </c>
      <c r="H155" t="s">
        <v>121</v>
      </c>
      <c r="I155" s="2" t="s">
        <v>122</v>
      </c>
      <c r="J155" s="2" t="s">
        <v>134</v>
      </c>
      <c r="K155" s="2">
        <v>2</v>
      </c>
      <c r="L155" s="2">
        <v>2017</v>
      </c>
      <c r="M155" t="s">
        <v>23</v>
      </c>
      <c r="N155" t="s">
        <v>70</v>
      </c>
      <c r="O155" t="s">
        <v>73</v>
      </c>
      <c r="P155">
        <v>8697</v>
      </c>
      <c r="Q155">
        <v>10</v>
      </c>
      <c r="R155" s="4">
        <f>(P155*(1+Q155/100))</f>
        <v>9566.7000000000007</v>
      </c>
    </row>
    <row r="156" spans="1:18" x14ac:dyDescent="0.3">
      <c r="A156" t="s">
        <v>20</v>
      </c>
      <c r="B156" t="s">
        <v>23</v>
      </c>
      <c r="C156" t="s">
        <v>40</v>
      </c>
      <c r="D156" t="s">
        <v>42</v>
      </c>
      <c r="E156" t="str">
        <f>IF(F156&lt;5,"Beginner",IF(F156&lt;=10,"Mid-Level","Senior"))</f>
        <v>Senior</v>
      </c>
      <c r="F156" s="2">
        <v>14</v>
      </c>
      <c r="G156" t="s">
        <v>53</v>
      </c>
      <c r="H156" t="s">
        <v>121</v>
      </c>
      <c r="I156" s="2" t="s">
        <v>122</v>
      </c>
      <c r="J156" s="2" t="s">
        <v>134</v>
      </c>
      <c r="K156" s="2">
        <v>2</v>
      </c>
      <c r="L156" s="2">
        <v>2011</v>
      </c>
      <c r="M156" t="s">
        <v>24</v>
      </c>
      <c r="N156" t="s">
        <v>65</v>
      </c>
      <c r="O156" t="s">
        <v>74</v>
      </c>
      <c r="P156">
        <v>9066</v>
      </c>
      <c r="Q156">
        <v>9</v>
      </c>
      <c r="R156" s="4">
        <f>(P156*(1+Q156/100))</f>
        <v>9881.94</v>
      </c>
    </row>
    <row r="157" spans="1:18" x14ac:dyDescent="0.3">
      <c r="A157" t="s">
        <v>20</v>
      </c>
      <c r="B157" t="s">
        <v>28</v>
      </c>
      <c r="C157" t="s">
        <v>40</v>
      </c>
      <c r="D157" t="s">
        <v>49</v>
      </c>
      <c r="E157" t="str">
        <f>IF(F157&lt;5,"Beginner",IF(F157&lt;=10,"Mid-Level","Senior"))</f>
        <v>Senior</v>
      </c>
      <c r="F157" s="2">
        <v>14</v>
      </c>
      <c r="G157" t="s">
        <v>58</v>
      </c>
      <c r="H157" t="s">
        <v>121</v>
      </c>
      <c r="I157" s="2" t="s">
        <v>122</v>
      </c>
      <c r="J157" s="2" t="s">
        <v>134</v>
      </c>
      <c r="K157" s="2">
        <v>2</v>
      </c>
      <c r="L157" s="2">
        <v>2018</v>
      </c>
      <c r="M157" t="s">
        <v>26</v>
      </c>
      <c r="N157" t="s">
        <v>68</v>
      </c>
      <c r="O157" t="s">
        <v>74</v>
      </c>
      <c r="P157">
        <v>5130</v>
      </c>
      <c r="Q157">
        <v>9</v>
      </c>
      <c r="R157" s="4">
        <f>(P157*(1+Q157/100))</f>
        <v>5591.7000000000007</v>
      </c>
    </row>
    <row r="158" spans="1:18" x14ac:dyDescent="0.3">
      <c r="A158" t="s">
        <v>20</v>
      </c>
      <c r="B158" t="s">
        <v>29</v>
      </c>
      <c r="C158" t="s">
        <v>37</v>
      </c>
      <c r="D158" t="s">
        <v>44</v>
      </c>
      <c r="E158" t="str">
        <f>IF(F158&lt;5,"Beginner",IF(F158&lt;=10,"Mid-Level","Senior"))</f>
        <v>Mid-Level</v>
      </c>
      <c r="F158" s="2">
        <v>9</v>
      </c>
      <c r="G158" t="s">
        <v>51</v>
      </c>
      <c r="H158" t="s">
        <v>121</v>
      </c>
      <c r="I158" s="2" t="s">
        <v>122</v>
      </c>
      <c r="J158" s="2" t="s">
        <v>134</v>
      </c>
      <c r="K158" s="2">
        <v>2</v>
      </c>
      <c r="L158" s="2">
        <v>2012</v>
      </c>
      <c r="M158" t="s">
        <v>26</v>
      </c>
      <c r="N158" t="s">
        <v>71</v>
      </c>
      <c r="O158" t="s">
        <v>75</v>
      </c>
      <c r="P158">
        <v>6548</v>
      </c>
      <c r="Q158">
        <v>10</v>
      </c>
      <c r="R158" s="4">
        <f>(P158*(1+Q158/100))</f>
        <v>7202.8</v>
      </c>
    </row>
    <row r="159" spans="1:18" x14ac:dyDescent="0.3">
      <c r="A159" t="s">
        <v>20</v>
      </c>
      <c r="B159" t="s">
        <v>27</v>
      </c>
      <c r="C159" t="s">
        <v>39</v>
      </c>
      <c r="D159" t="s">
        <v>48</v>
      </c>
      <c r="E159" t="str">
        <f>IF(F159&lt;5,"Beginner",IF(F159&lt;=10,"Mid-Level","Senior"))</f>
        <v>Senior</v>
      </c>
      <c r="F159" s="2">
        <v>16</v>
      </c>
      <c r="G159" t="s">
        <v>53</v>
      </c>
      <c r="H159" t="s">
        <v>121</v>
      </c>
      <c r="I159" s="2" t="s">
        <v>122</v>
      </c>
      <c r="J159" s="2" t="s">
        <v>134</v>
      </c>
      <c r="K159" s="2">
        <v>2</v>
      </c>
      <c r="L159" s="2">
        <v>2019</v>
      </c>
      <c r="M159" t="s">
        <v>28</v>
      </c>
      <c r="N159" t="s">
        <v>70</v>
      </c>
      <c r="O159" t="s">
        <v>76</v>
      </c>
      <c r="P159">
        <v>6310</v>
      </c>
      <c r="Q159">
        <v>8</v>
      </c>
      <c r="R159" s="4">
        <f>(P159*(1+Q159/100))</f>
        <v>6814.8</v>
      </c>
    </row>
    <row r="160" spans="1:18" x14ac:dyDescent="0.3">
      <c r="A160" t="s">
        <v>20</v>
      </c>
      <c r="B160" t="s">
        <v>30</v>
      </c>
      <c r="C160" t="s">
        <v>37</v>
      </c>
      <c r="D160" t="s">
        <v>42</v>
      </c>
      <c r="E160" t="str">
        <f>IF(F160&lt;5,"Beginner",IF(F160&lt;=10,"Mid-Level","Senior"))</f>
        <v>Senior</v>
      </c>
      <c r="F160" s="2">
        <v>14</v>
      </c>
      <c r="G160" t="s">
        <v>58</v>
      </c>
      <c r="H160" t="s">
        <v>121</v>
      </c>
      <c r="I160" s="2" t="s">
        <v>122</v>
      </c>
      <c r="J160" s="2" t="s">
        <v>134</v>
      </c>
      <c r="K160" s="2">
        <v>2</v>
      </c>
      <c r="L160" s="2">
        <v>2017</v>
      </c>
      <c r="M160" t="s">
        <v>31</v>
      </c>
      <c r="N160" t="s">
        <v>68</v>
      </c>
      <c r="O160" t="s">
        <v>76</v>
      </c>
      <c r="P160">
        <v>8327</v>
      </c>
      <c r="Q160">
        <v>5</v>
      </c>
      <c r="R160" s="4">
        <f>(P160*(1+Q160/100))</f>
        <v>8743.35</v>
      </c>
    </row>
    <row r="161" spans="1:18" x14ac:dyDescent="0.3">
      <c r="A161" t="s">
        <v>20</v>
      </c>
      <c r="B161" t="s">
        <v>28</v>
      </c>
      <c r="C161" t="s">
        <v>37</v>
      </c>
      <c r="D161" t="s">
        <v>42</v>
      </c>
      <c r="E161" t="str">
        <f>IF(F161&lt;5,"Beginner",IF(F161&lt;=10,"Mid-Level","Senior"))</f>
        <v>Beginner</v>
      </c>
      <c r="F161" s="2">
        <v>1</v>
      </c>
      <c r="G161" t="s">
        <v>57</v>
      </c>
      <c r="H161" t="s">
        <v>121</v>
      </c>
      <c r="I161" s="2" t="s">
        <v>122</v>
      </c>
      <c r="J161" s="2" t="s">
        <v>134</v>
      </c>
      <c r="K161" s="2">
        <v>2</v>
      </c>
      <c r="L161" s="2">
        <v>2023</v>
      </c>
      <c r="M161" t="s">
        <v>23</v>
      </c>
      <c r="N161" t="s">
        <v>71</v>
      </c>
      <c r="O161" t="s">
        <v>75</v>
      </c>
      <c r="P161">
        <v>10786</v>
      </c>
      <c r="Q161">
        <v>12</v>
      </c>
      <c r="R161" s="4">
        <f>(P161*(1+Q161/100))</f>
        <v>12080.320000000002</v>
      </c>
    </row>
    <row r="162" spans="1:18" x14ac:dyDescent="0.3">
      <c r="A162" t="s">
        <v>20</v>
      </c>
      <c r="B162" t="s">
        <v>25</v>
      </c>
      <c r="C162" t="s">
        <v>5</v>
      </c>
      <c r="D162" t="s">
        <v>46</v>
      </c>
      <c r="E162" t="str">
        <f>IF(F162&lt;5,"Beginner",IF(F162&lt;=10,"Mid-Level","Senior"))</f>
        <v>Beginner</v>
      </c>
      <c r="F162" s="2">
        <v>2</v>
      </c>
      <c r="G162" t="s">
        <v>56</v>
      </c>
      <c r="H162" t="s">
        <v>121</v>
      </c>
      <c r="I162" s="2" t="s">
        <v>122</v>
      </c>
      <c r="J162" s="2" t="s">
        <v>134</v>
      </c>
      <c r="K162" s="2">
        <v>2</v>
      </c>
      <c r="L162" s="2">
        <v>2013</v>
      </c>
      <c r="M162" t="s">
        <v>26</v>
      </c>
      <c r="N162" t="s">
        <v>64</v>
      </c>
      <c r="O162" t="s">
        <v>77</v>
      </c>
      <c r="P162">
        <v>5132</v>
      </c>
      <c r="Q162">
        <v>7</v>
      </c>
      <c r="R162" s="4">
        <f>(P162*(1+Q162/100))</f>
        <v>5491.2400000000007</v>
      </c>
    </row>
    <row r="163" spans="1:18" x14ac:dyDescent="0.3">
      <c r="A163" t="s">
        <v>20</v>
      </c>
      <c r="B163" t="s">
        <v>25</v>
      </c>
      <c r="C163" t="s">
        <v>36</v>
      </c>
      <c r="D163" t="s">
        <v>41</v>
      </c>
      <c r="E163" t="str">
        <f>IF(F163&lt;5,"Beginner",IF(F163&lt;=10,"Mid-Level","Senior"))</f>
        <v>Beginner</v>
      </c>
      <c r="F163" s="2">
        <v>2</v>
      </c>
      <c r="G163" t="s">
        <v>51</v>
      </c>
      <c r="H163" t="s">
        <v>121</v>
      </c>
      <c r="I163" s="2" t="s">
        <v>122</v>
      </c>
      <c r="J163" s="2" t="s">
        <v>134</v>
      </c>
      <c r="K163" s="2">
        <v>2</v>
      </c>
      <c r="L163" s="2">
        <v>2025</v>
      </c>
      <c r="M163" t="s">
        <v>25</v>
      </c>
      <c r="N163" t="s">
        <v>63</v>
      </c>
      <c r="O163" t="s">
        <v>73</v>
      </c>
      <c r="P163">
        <v>10904</v>
      </c>
      <c r="Q163">
        <v>6</v>
      </c>
      <c r="R163" s="4">
        <f>(P163*(1+Q163/100))</f>
        <v>11558.24</v>
      </c>
    </row>
    <row r="164" spans="1:18" x14ac:dyDescent="0.3">
      <c r="A164" t="s">
        <v>20</v>
      </c>
      <c r="B164" t="s">
        <v>23</v>
      </c>
      <c r="C164" t="s">
        <v>38</v>
      </c>
      <c r="D164" t="s">
        <v>41</v>
      </c>
      <c r="E164" t="str">
        <f>IF(F164&lt;5,"Beginner",IF(F164&lt;=10,"Mid-Level","Senior"))</f>
        <v>Senior</v>
      </c>
      <c r="F164" s="2">
        <v>11</v>
      </c>
      <c r="G164" t="s">
        <v>55</v>
      </c>
      <c r="H164" t="s">
        <v>121</v>
      </c>
      <c r="I164" s="2" t="s">
        <v>122</v>
      </c>
      <c r="J164" s="2" t="s">
        <v>134</v>
      </c>
      <c r="K164" s="2">
        <v>2</v>
      </c>
      <c r="L164" s="2">
        <v>2017</v>
      </c>
      <c r="M164" t="s">
        <v>24</v>
      </c>
      <c r="N164" t="s">
        <v>71</v>
      </c>
      <c r="O164" t="s">
        <v>75</v>
      </c>
      <c r="P164">
        <v>5643</v>
      </c>
      <c r="Q164">
        <v>6</v>
      </c>
      <c r="R164" s="4">
        <f>(P164*(1+Q164/100))</f>
        <v>5981.58</v>
      </c>
    </row>
    <row r="165" spans="1:18" x14ac:dyDescent="0.3">
      <c r="A165" t="s">
        <v>20</v>
      </c>
      <c r="B165" t="s">
        <v>22</v>
      </c>
      <c r="C165" t="s">
        <v>5</v>
      </c>
      <c r="D165" t="s">
        <v>43</v>
      </c>
      <c r="E165" t="str">
        <f>IF(F165&lt;5,"Beginner",IF(F165&lt;=10,"Mid-Level","Senior"))</f>
        <v>Mid-Level</v>
      </c>
      <c r="F165" s="2">
        <v>9</v>
      </c>
      <c r="G165" t="s">
        <v>53</v>
      </c>
      <c r="H165" t="s">
        <v>121</v>
      </c>
      <c r="I165" s="2" t="s">
        <v>122</v>
      </c>
      <c r="J165" s="2" t="s">
        <v>134</v>
      </c>
      <c r="K165" s="2">
        <v>2</v>
      </c>
      <c r="L165" s="2">
        <v>2016</v>
      </c>
      <c r="M165" t="s">
        <v>22</v>
      </c>
      <c r="N165" t="s">
        <v>64</v>
      </c>
      <c r="O165" t="s">
        <v>76</v>
      </c>
      <c r="P165">
        <v>7121</v>
      </c>
      <c r="Q165">
        <v>11</v>
      </c>
      <c r="R165" s="4">
        <f>(P165*(1+Q165/100))</f>
        <v>7904.31</v>
      </c>
    </row>
    <row r="166" spans="1:18" x14ac:dyDescent="0.3">
      <c r="A166" t="s">
        <v>20</v>
      </c>
      <c r="B166" t="s">
        <v>27</v>
      </c>
      <c r="C166" t="s">
        <v>32</v>
      </c>
      <c r="D166" t="s">
        <v>45</v>
      </c>
      <c r="E166" t="str">
        <f>IF(F166&lt;5,"Beginner",IF(F166&lt;=10,"Mid-Level","Senior"))</f>
        <v>Beginner</v>
      </c>
      <c r="F166" s="2">
        <v>3</v>
      </c>
      <c r="G166" t="s">
        <v>58</v>
      </c>
      <c r="H166" t="s">
        <v>121</v>
      </c>
      <c r="I166" s="2" t="s">
        <v>122</v>
      </c>
      <c r="J166" s="2" t="s">
        <v>134</v>
      </c>
      <c r="K166" s="2">
        <v>2</v>
      </c>
      <c r="L166" s="2">
        <v>2016</v>
      </c>
      <c r="M166" t="s">
        <v>26</v>
      </c>
      <c r="N166" t="s">
        <v>65</v>
      </c>
      <c r="O166" t="s">
        <v>76</v>
      </c>
      <c r="P166">
        <v>6113</v>
      </c>
      <c r="Q166">
        <v>5</v>
      </c>
      <c r="R166" s="4">
        <f>(P166*(1+Q166/100))</f>
        <v>6418.6500000000005</v>
      </c>
    </row>
    <row r="167" spans="1:18" x14ac:dyDescent="0.3">
      <c r="A167" t="s">
        <v>20</v>
      </c>
      <c r="B167" t="s">
        <v>29</v>
      </c>
      <c r="C167" t="s">
        <v>34</v>
      </c>
      <c r="D167" t="s">
        <v>49</v>
      </c>
      <c r="E167" t="str">
        <f>IF(F167&lt;5,"Beginner",IF(F167&lt;=10,"Mid-Level","Senior"))</f>
        <v>Senior</v>
      </c>
      <c r="F167" s="2">
        <v>13</v>
      </c>
      <c r="G167" t="s">
        <v>57</v>
      </c>
      <c r="H167" t="s">
        <v>121</v>
      </c>
      <c r="I167" s="2" t="s">
        <v>122</v>
      </c>
      <c r="J167" s="2" t="s">
        <v>134</v>
      </c>
      <c r="K167" s="2">
        <v>2</v>
      </c>
      <c r="L167" s="2">
        <v>2011</v>
      </c>
      <c r="M167" t="s">
        <v>27</v>
      </c>
      <c r="N167" t="s">
        <v>71</v>
      </c>
      <c r="O167" t="s">
        <v>74</v>
      </c>
      <c r="P167">
        <v>10066</v>
      </c>
      <c r="Q167">
        <v>7</v>
      </c>
      <c r="R167" s="4">
        <f>(P167*(1+Q167/100))</f>
        <v>10770.62</v>
      </c>
    </row>
    <row r="168" spans="1:18" x14ac:dyDescent="0.3">
      <c r="A168" t="s">
        <v>20</v>
      </c>
      <c r="B168" t="s">
        <v>24</v>
      </c>
      <c r="C168" t="s">
        <v>35</v>
      </c>
      <c r="D168" t="s">
        <v>48</v>
      </c>
      <c r="E168" t="str">
        <f>IF(F168&lt;5,"Beginner",IF(F168&lt;=10,"Mid-Level","Senior"))</f>
        <v>Senior</v>
      </c>
      <c r="F168" s="2">
        <v>16</v>
      </c>
      <c r="G168" t="s">
        <v>52</v>
      </c>
      <c r="H168" t="s">
        <v>121</v>
      </c>
      <c r="I168" s="2" t="s">
        <v>122</v>
      </c>
      <c r="J168" s="2" t="s">
        <v>134</v>
      </c>
      <c r="K168" s="2">
        <v>2</v>
      </c>
      <c r="L168" s="2">
        <v>2025</v>
      </c>
      <c r="M168" t="s">
        <v>23</v>
      </c>
      <c r="N168" t="s">
        <v>65</v>
      </c>
      <c r="O168" t="s">
        <v>75</v>
      </c>
      <c r="P168">
        <v>7033</v>
      </c>
      <c r="Q168">
        <v>7</v>
      </c>
      <c r="R168" s="4">
        <f>(P168*(1+Q168/100))</f>
        <v>7525.31</v>
      </c>
    </row>
    <row r="169" spans="1:18" x14ac:dyDescent="0.3">
      <c r="A169" t="s">
        <v>20</v>
      </c>
      <c r="B169" t="s">
        <v>27</v>
      </c>
      <c r="C169" t="s">
        <v>32</v>
      </c>
      <c r="D169" t="s">
        <v>50</v>
      </c>
      <c r="E169" t="str">
        <f>IF(F169&lt;5,"Beginner",IF(F169&lt;=10,"Mid-Level","Senior"))</f>
        <v>Senior</v>
      </c>
      <c r="F169" s="2">
        <v>11</v>
      </c>
      <c r="G169" t="s">
        <v>57</v>
      </c>
      <c r="H169" t="s">
        <v>121</v>
      </c>
      <c r="I169" s="2" t="s">
        <v>122</v>
      </c>
      <c r="J169" s="2" t="s">
        <v>134</v>
      </c>
      <c r="K169" s="2">
        <v>2</v>
      </c>
      <c r="L169" s="2">
        <v>2024</v>
      </c>
      <c r="M169" t="s">
        <v>22</v>
      </c>
      <c r="N169" t="s">
        <v>63</v>
      </c>
      <c r="O169" t="s">
        <v>77</v>
      </c>
      <c r="P169">
        <v>6208</v>
      </c>
      <c r="Q169">
        <v>5</v>
      </c>
      <c r="R169" s="4">
        <f>(P169*(1+Q169/100))</f>
        <v>6518.4000000000005</v>
      </c>
    </row>
    <row r="170" spans="1:18" x14ac:dyDescent="0.3">
      <c r="A170" t="s">
        <v>20</v>
      </c>
      <c r="B170" t="s">
        <v>31</v>
      </c>
      <c r="C170" t="s">
        <v>34</v>
      </c>
      <c r="D170" t="s">
        <v>49</v>
      </c>
      <c r="E170" t="str">
        <f>IF(F170&lt;5,"Beginner",IF(F170&lt;=10,"Mid-Level","Senior"))</f>
        <v>Senior</v>
      </c>
      <c r="F170" s="2">
        <v>11</v>
      </c>
      <c r="G170" t="s">
        <v>55</v>
      </c>
      <c r="H170" t="s">
        <v>121</v>
      </c>
      <c r="I170" s="2" t="s">
        <v>122</v>
      </c>
      <c r="J170" s="2" t="s">
        <v>134</v>
      </c>
      <c r="K170" s="2">
        <v>2</v>
      </c>
      <c r="L170" s="2">
        <v>2023</v>
      </c>
      <c r="M170" t="s">
        <v>27</v>
      </c>
      <c r="N170" t="s">
        <v>63</v>
      </c>
      <c r="O170" t="s">
        <v>74</v>
      </c>
      <c r="P170">
        <v>10540</v>
      </c>
      <c r="Q170">
        <v>7</v>
      </c>
      <c r="R170" s="4">
        <f>(P170*(1+Q170/100))</f>
        <v>11277.800000000001</v>
      </c>
    </row>
    <row r="171" spans="1:18" x14ac:dyDescent="0.3">
      <c r="A171" t="s">
        <v>20</v>
      </c>
      <c r="B171" t="s">
        <v>27</v>
      </c>
      <c r="C171" t="s">
        <v>35</v>
      </c>
      <c r="D171" t="s">
        <v>47</v>
      </c>
      <c r="E171" t="str">
        <f>IF(F171&lt;5,"Beginner",IF(F171&lt;=10,"Mid-Level","Senior"))</f>
        <v>Senior</v>
      </c>
      <c r="F171" s="2">
        <v>11</v>
      </c>
      <c r="G171" t="s">
        <v>58</v>
      </c>
      <c r="H171" t="s">
        <v>121</v>
      </c>
      <c r="I171" s="2" t="s">
        <v>122</v>
      </c>
      <c r="J171" s="2" t="s">
        <v>134</v>
      </c>
      <c r="K171" s="2">
        <v>2</v>
      </c>
      <c r="L171" s="2">
        <v>2018</v>
      </c>
      <c r="M171" t="s">
        <v>26</v>
      </c>
      <c r="N171" t="s">
        <v>71</v>
      </c>
      <c r="O171" t="s">
        <v>74</v>
      </c>
      <c r="P171">
        <v>7721</v>
      </c>
      <c r="Q171">
        <v>10</v>
      </c>
      <c r="R171" s="4">
        <f>(P171*(1+Q171/100))</f>
        <v>8493.1</v>
      </c>
    </row>
    <row r="172" spans="1:18" x14ac:dyDescent="0.3">
      <c r="A172" t="s">
        <v>20</v>
      </c>
      <c r="B172" t="s">
        <v>30</v>
      </c>
      <c r="C172" t="s">
        <v>40</v>
      </c>
      <c r="D172" t="s">
        <v>41</v>
      </c>
      <c r="E172" t="str">
        <f>IF(F172&lt;5,"Beginner",IF(F172&lt;=10,"Mid-Level","Senior"))</f>
        <v>Senior</v>
      </c>
      <c r="F172" s="2">
        <v>16</v>
      </c>
      <c r="G172" t="s">
        <v>52</v>
      </c>
      <c r="H172" t="s">
        <v>121</v>
      </c>
      <c r="I172" s="2" t="s">
        <v>122</v>
      </c>
      <c r="J172" s="2" t="s">
        <v>134</v>
      </c>
      <c r="K172" s="2">
        <v>2</v>
      </c>
      <c r="L172" s="2">
        <v>2023</v>
      </c>
      <c r="M172" t="s">
        <v>27</v>
      </c>
      <c r="N172" t="s">
        <v>72</v>
      </c>
      <c r="O172" t="s">
        <v>75</v>
      </c>
      <c r="P172">
        <v>9930</v>
      </c>
      <c r="Q172">
        <v>12</v>
      </c>
      <c r="R172" s="4">
        <f>(P172*(1+Q172/100))</f>
        <v>11121.6</v>
      </c>
    </row>
    <row r="173" spans="1:18" x14ac:dyDescent="0.3">
      <c r="A173" t="s">
        <v>20</v>
      </c>
      <c r="B173" t="s">
        <v>22</v>
      </c>
      <c r="C173" t="s">
        <v>33</v>
      </c>
      <c r="D173" t="s">
        <v>45</v>
      </c>
      <c r="E173" t="str">
        <f>IF(F173&lt;5,"Beginner",IF(F173&lt;=10,"Mid-Level","Senior"))</f>
        <v>Beginner</v>
      </c>
      <c r="F173" s="2">
        <v>4</v>
      </c>
      <c r="G173" t="s">
        <v>53</v>
      </c>
      <c r="H173" t="s">
        <v>121</v>
      </c>
      <c r="I173" s="2" t="s">
        <v>122</v>
      </c>
      <c r="J173" s="2" t="s">
        <v>134</v>
      </c>
      <c r="K173" s="2">
        <v>2</v>
      </c>
      <c r="L173" s="2">
        <v>2016</v>
      </c>
      <c r="M173" t="s">
        <v>30</v>
      </c>
      <c r="N173" t="s">
        <v>71</v>
      </c>
      <c r="O173" t="s">
        <v>73</v>
      </c>
      <c r="P173">
        <v>7852</v>
      </c>
      <c r="Q173">
        <v>7</v>
      </c>
      <c r="R173" s="4">
        <f>(P173*(1+Q173/100))</f>
        <v>8401.6400000000012</v>
      </c>
    </row>
    <row r="174" spans="1:18" x14ac:dyDescent="0.3">
      <c r="A174" t="s">
        <v>20</v>
      </c>
      <c r="B174" t="s">
        <v>31</v>
      </c>
      <c r="C174" t="s">
        <v>36</v>
      </c>
      <c r="D174" t="s">
        <v>50</v>
      </c>
      <c r="E174" t="str">
        <f>IF(F174&lt;5,"Beginner",IF(F174&lt;=10,"Mid-Level","Senior"))</f>
        <v>Beginner</v>
      </c>
      <c r="F174" s="2">
        <v>4</v>
      </c>
      <c r="G174" t="s">
        <v>59</v>
      </c>
      <c r="H174" t="s">
        <v>121</v>
      </c>
      <c r="I174" s="2" t="s">
        <v>122</v>
      </c>
      <c r="J174" s="2" t="s">
        <v>134</v>
      </c>
      <c r="K174" s="2">
        <v>2</v>
      </c>
      <c r="L174" s="2">
        <v>2023</v>
      </c>
      <c r="M174" t="s">
        <v>24</v>
      </c>
      <c r="N174" t="s">
        <v>65</v>
      </c>
      <c r="O174" t="s">
        <v>75</v>
      </c>
      <c r="P174">
        <v>8241</v>
      </c>
      <c r="Q174">
        <v>12</v>
      </c>
      <c r="R174" s="4">
        <f>(P174*(1+Q174/100))</f>
        <v>9229.92</v>
      </c>
    </row>
    <row r="175" spans="1:18" x14ac:dyDescent="0.3">
      <c r="A175" t="s">
        <v>20</v>
      </c>
      <c r="B175" t="s">
        <v>31</v>
      </c>
      <c r="C175" t="s">
        <v>38</v>
      </c>
      <c r="D175" t="s">
        <v>42</v>
      </c>
      <c r="E175" t="str">
        <f>IF(F175&lt;5,"Beginner",IF(F175&lt;=10,"Mid-Level","Senior"))</f>
        <v>Beginner</v>
      </c>
      <c r="F175" s="2">
        <v>4</v>
      </c>
      <c r="G175" t="s">
        <v>59</v>
      </c>
      <c r="H175" t="s">
        <v>121</v>
      </c>
      <c r="I175" s="2" t="s">
        <v>122</v>
      </c>
      <c r="J175" s="2" t="s">
        <v>134</v>
      </c>
      <c r="K175" s="2">
        <v>2</v>
      </c>
      <c r="L175" s="2">
        <v>2020</v>
      </c>
      <c r="M175" t="s">
        <v>26</v>
      </c>
      <c r="N175" t="s">
        <v>72</v>
      </c>
      <c r="O175" t="s">
        <v>77</v>
      </c>
      <c r="P175">
        <v>8603</v>
      </c>
      <c r="Q175">
        <v>8</v>
      </c>
      <c r="R175" s="4">
        <f>(P175*(1+Q175/100))</f>
        <v>9291.24</v>
      </c>
    </row>
    <row r="176" spans="1:18" x14ac:dyDescent="0.3">
      <c r="A176" t="s">
        <v>20</v>
      </c>
      <c r="B176" t="s">
        <v>26</v>
      </c>
      <c r="C176" t="s">
        <v>35</v>
      </c>
      <c r="D176" t="s">
        <v>41</v>
      </c>
      <c r="E176" t="str">
        <f>IF(F176&lt;5,"Beginner",IF(F176&lt;=10,"Mid-Level","Senior"))</f>
        <v>Beginner</v>
      </c>
      <c r="F176" s="2">
        <v>1</v>
      </c>
      <c r="G176" t="s">
        <v>56</v>
      </c>
      <c r="H176" t="s">
        <v>121</v>
      </c>
      <c r="I176" s="2" t="s">
        <v>122</v>
      </c>
      <c r="J176" s="2" t="s">
        <v>134</v>
      </c>
      <c r="K176" s="2">
        <v>2</v>
      </c>
      <c r="L176" s="2">
        <v>2024</v>
      </c>
      <c r="M176" t="s">
        <v>27</v>
      </c>
      <c r="N176" t="s">
        <v>65</v>
      </c>
      <c r="O176" t="s">
        <v>77</v>
      </c>
      <c r="P176">
        <v>7062</v>
      </c>
      <c r="Q176">
        <v>5</v>
      </c>
      <c r="R176" s="4">
        <f>(P176*(1+Q176/100))</f>
        <v>7415.1</v>
      </c>
    </row>
    <row r="177" spans="1:18" x14ac:dyDescent="0.3">
      <c r="A177" t="s">
        <v>20</v>
      </c>
      <c r="B177" t="s">
        <v>26</v>
      </c>
      <c r="C177" t="s">
        <v>40</v>
      </c>
      <c r="D177" t="s">
        <v>48</v>
      </c>
      <c r="E177" t="str">
        <f>IF(F177&lt;5,"Beginner",IF(F177&lt;=10,"Mid-Level","Senior"))</f>
        <v>Beginner</v>
      </c>
      <c r="F177" s="2">
        <v>3</v>
      </c>
      <c r="G177" t="s">
        <v>51</v>
      </c>
      <c r="H177" t="s">
        <v>121</v>
      </c>
      <c r="I177" s="2" t="s">
        <v>122</v>
      </c>
      <c r="J177" s="2" t="s">
        <v>134</v>
      </c>
      <c r="K177" s="2">
        <v>2</v>
      </c>
      <c r="L177" s="2">
        <v>2012</v>
      </c>
      <c r="M177" t="s">
        <v>29</v>
      </c>
      <c r="N177" t="s">
        <v>63</v>
      </c>
      <c r="O177" t="s">
        <v>74</v>
      </c>
      <c r="P177">
        <v>6958</v>
      </c>
      <c r="Q177">
        <v>10</v>
      </c>
      <c r="R177" s="4">
        <f>(P177*(1+Q177/100))</f>
        <v>7653.8</v>
      </c>
    </row>
    <row r="178" spans="1:18" x14ac:dyDescent="0.3">
      <c r="A178" t="s">
        <v>20</v>
      </c>
      <c r="B178" t="s">
        <v>23</v>
      </c>
      <c r="C178" t="s">
        <v>32</v>
      </c>
      <c r="D178" t="s">
        <v>45</v>
      </c>
      <c r="E178" t="str">
        <f>IF(F178&lt;5,"Beginner",IF(F178&lt;=10,"Mid-Level","Senior"))</f>
        <v>Mid-Level</v>
      </c>
      <c r="F178" s="2">
        <v>8</v>
      </c>
      <c r="G178" t="s">
        <v>59</v>
      </c>
      <c r="H178" t="s">
        <v>121</v>
      </c>
      <c r="I178" s="2" t="s">
        <v>122</v>
      </c>
      <c r="J178" s="2" t="s">
        <v>134</v>
      </c>
      <c r="K178" s="2">
        <v>2</v>
      </c>
      <c r="L178" s="2">
        <v>2013</v>
      </c>
      <c r="M178" t="s">
        <v>31</v>
      </c>
      <c r="N178" t="s">
        <v>72</v>
      </c>
      <c r="O178" t="s">
        <v>76</v>
      </c>
      <c r="P178">
        <v>6586</v>
      </c>
      <c r="Q178">
        <v>12</v>
      </c>
      <c r="R178" s="4">
        <f>(P178*(1+Q178/100))</f>
        <v>7376.3200000000006</v>
      </c>
    </row>
    <row r="179" spans="1:18" x14ac:dyDescent="0.3">
      <c r="A179" t="s">
        <v>20</v>
      </c>
      <c r="B179" t="s">
        <v>29</v>
      </c>
      <c r="C179" t="s">
        <v>32</v>
      </c>
      <c r="D179" t="s">
        <v>43</v>
      </c>
      <c r="E179" t="str">
        <f>IF(F179&lt;5,"Beginner",IF(F179&lt;=10,"Mid-Level","Senior"))</f>
        <v>Senior</v>
      </c>
      <c r="F179" s="2">
        <v>11</v>
      </c>
      <c r="G179" t="s">
        <v>53</v>
      </c>
      <c r="H179" t="s">
        <v>121</v>
      </c>
      <c r="I179" s="2" t="s">
        <v>122</v>
      </c>
      <c r="J179" s="2" t="s">
        <v>134</v>
      </c>
      <c r="K179" s="2">
        <v>2</v>
      </c>
      <c r="L179" s="2">
        <v>2021</v>
      </c>
      <c r="M179" t="s">
        <v>27</v>
      </c>
      <c r="N179" t="s">
        <v>64</v>
      </c>
      <c r="O179" t="s">
        <v>74</v>
      </c>
      <c r="P179">
        <v>5810</v>
      </c>
      <c r="Q179">
        <v>6</v>
      </c>
      <c r="R179" s="4">
        <f>(P179*(1+Q179/100))</f>
        <v>6158.6</v>
      </c>
    </row>
    <row r="180" spans="1:18" x14ac:dyDescent="0.3">
      <c r="A180" t="s">
        <v>20</v>
      </c>
      <c r="B180" t="s">
        <v>30</v>
      </c>
      <c r="C180" t="s">
        <v>34</v>
      </c>
      <c r="D180" t="s">
        <v>50</v>
      </c>
      <c r="E180" t="str">
        <f>IF(F180&lt;5,"Beginner",IF(F180&lt;=10,"Mid-Level","Senior"))</f>
        <v>Senior</v>
      </c>
      <c r="F180" s="2">
        <v>19</v>
      </c>
      <c r="G180" t="s">
        <v>51</v>
      </c>
      <c r="H180" t="s">
        <v>121</v>
      </c>
      <c r="I180" s="2" t="s">
        <v>122</v>
      </c>
      <c r="J180" s="2" t="s">
        <v>134</v>
      </c>
      <c r="K180" s="2">
        <v>2</v>
      </c>
      <c r="L180" s="2">
        <v>2017</v>
      </c>
      <c r="M180" t="s">
        <v>24</v>
      </c>
      <c r="N180" t="s">
        <v>63</v>
      </c>
      <c r="O180" t="s">
        <v>74</v>
      </c>
      <c r="P180">
        <v>8021</v>
      </c>
      <c r="Q180">
        <v>6</v>
      </c>
      <c r="R180" s="4">
        <f>(P180*(1+Q180/100))</f>
        <v>8502.26</v>
      </c>
    </row>
    <row r="181" spans="1:18" x14ac:dyDescent="0.3">
      <c r="A181" t="s">
        <v>20</v>
      </c>
      <c r="B181" t="s">
        <v>29</v>
      </c>
      <c r="C181" t="s">
        <v>34</v>
      </c>
      <c r="D181" t="s">
        <v>48</v>
      </c>
      <c r="E181" t="str">
        <f>IF(F181&lt;5,"Beginner",IF(F181&lt;=10,"Mid-Level","Senior"))</f>
        <v>Beginner</v>
      </c>
      <c r="F181" s="2">
        <v>1</v>
      </c>
      <c r="G181" t="s">
        <v>59</v>
      </c>
      <c r="H181" t="s">
        <v>121</v>
      </c>
      <c r="I181" s="2" t="s">
        <v>122</v>
      </c>
      <c r="J181" s="2" t="s">
        <v>134</v>
      </c>
      <c r="K181" s="2">
        <v>2</v>
      </c>
      <c r="L181" s="2">
        <v>2013</v>
      </c>
      <c r="M181" t="s">
        <v>29</v>
      </c>
      <c r="N181" t="s">
        <v>65</v>
      </c>
      <c r="O181" t="s">
        <v>77</v>
      </c>
      <c r="P181">
        <v>5351</v>
      </c>
      <c r="Q181">
        <v>5</v>
      </c>
      <c r="R181" s="4">
        <f>(P181*(1+Q181/100))</f>
        <v>5618.55</v>
      </c>
    </row>
    <row r="182" spans="1:18" x14ac:dyDescent="0.3">
      <c r="A182" t="s">
        <v>20</v>
      </c>
      <c r="B182" t="s">
        <v>29</v>
      </c>
      <c r="C182" t="s">
        <v>38</v>
      </c>
      <c r="D182" t="s">
        <v>46</v>
      </c>
      <c r="E182" t="str">
        <f>IF(F182&lt;5,"Beginner",IF(F182&lt;=10,"Mid-Level","Senior"))</f>
        <v>Beginner</v>
      </c>
      <c r="F182" s="2">
        <v>4</v>
      </c>
      <c r="G182" t="s">
        <v>56</v>
      </c>
      <c r="H182" t="s">
        <v>121</v>
      </c>
      <c r="I182" s="2" t="s">
        <v>122</v>
      </c>
      <c r="J182" s="2" t="s">
        <v>134</v>
      </c>
      <c r="K182" s="2">
        <v>2</v>
      </c>
      <c r="L182" s="2">
        <v>2014</v>
      </c>
      <c r="M182" t="s">
        <v>23</v>
      </c>
      <c r="N182" t="s">
        <v>68</v>
      </c>
      <c r="O182" t="s">
        <v>76</v>
      </c>
      <c r="P182">
        <v>7961</v>
      </c>
      <c r="Q182">
        <v>11</v>
      </c>
      <c r="R182" s="4">
        <f>(P182*(1+Q182/100))</f>
        <v>8836.7100000000009</v>
      </c>
    </row>
    <row r="183" spans="1:18" x14ac:dyDescent="0.3">
      <c r="A183" t="s">
        <v>20</v>
      </c>
      <c r="B183" t="s">
        <v>25</v>
      </c>
      <c r="C183" t="s">
        <v>34</v>
      </c>
      <c r="D183" t="s">
        <v>41</v>
      </c>
      <c r="E183" t="str">
        <f>IF(F183&lt;5,"Beginner",IF(F183&lt;=10,"Mid-Level","Senior"))</f>
        <v>Mid-Level</v>
      </c>
      <c r="F183" s="2">
        <v>10</v>
      </c>
      <c r="G183" t="s">
        <v>59</v>
      </c>
      <c r="H183" t="s">
        <v>121</v>
      </c>
      <c r="I183" s="2" t="s">
        <v>122</v>
      </c>
      <c r="J183" s="2" t="s">
        <v>134</v>
      </c>
      <c r="K183" s="2">
        <v>2</v>
      </c>
      <c r="L183" s="2">
        <v>2015</v>
      </c>
      <c r="M183" t="s">
        <v>22</v>
      </c>
      <c r="N183" t="s">
        <v>66</v>
      </c>
      <c r="O183" t="s">
        <v>73</v>
      </c>
      <c r="P183">
        <v>9102</v>
      </c>
      <c r="Q183">
        <v>10</v>
      </c>
      <c r="R183" s="4">
        <f>(P183*(1+Q183/100))</f>
        <v>10012.200000000001</v>
      </c>
    </row>
    <row r="184" spans="1:18" x14ac:dyDescent="0.3">
      <c r="A184" t="s">
        <v>14</v>
      </c>
      <c r="B184" t="s">
        <v>28</v>
      </c>
      <c r="C184" t="s">
        <v>38</v>
      </c>
      <c r="D184" t="s">
        <v>45</v>
      </c>
      <c r="E184" t="str">
        <f>IF(F184&lt;5,"Beginner",IF(F184&lt;=10,"Mid-Level","Senior"))</f>
        <v>Senior</v>
      </c>
      <c r="F184" s="2">
        <v>19</v>
      </c>
      <c r="G184" t="s">
        <v>54</v>
      </c>
      <c r="H184" t="s">
        <v>106</v>
      </c>
      <c r="I184" s="2" t="s">
        <v>115</v>
      </c>
      <c r="J184" s="2" t="s">
        <v>116</v>
      </c>
      <c r="K184" s="2">
        <v>3</v>
      </c>
      <c r="L184" s="2">
        <v>2014</v>
      </c>
      <c r="M184" t="s">
        <v>25</v>
      </c>
      <c r="N184" t="s">
        <v>69</v>
      </c>
      <c r="O184" t="s">
        <v>73</v>
      </c>
      <c r="P184">
        <v>8819</v>
      </c>
      <c r="Q184">
        <v>9</v>
      </c>
      <c r="R184" s="4">
        <f>(P184*(1+Q184/100))</f>
        <v>9612.7100000000009</v>
      </c>
    </row>
    <row r="185" spans="1:18" x14ac:dyDescent="0.3">
      <c r="A185" t="s">
        <v>14</v>
      </c>
      <c r="B185" t="s">
        <v>31</v>
      </c>
      <c r="C185" t="s">
        <v>40</v>
      </c>
      <c r="D185" t="s">
        <v>41</v>
      </c>
      <c r="E185" t="str">
        <f>IF(F185&lt;5,"Beginner",IF(F185&lt;=10,"Mid-Level","Senior"))</f>
        <v>Mid-Level</v>
      </c>
      <c r="F185" s="2">
        <v>8</v>
      </c>
      <c r="G185" t="s">
        <v>56</v>
      </c>
      <c r="H185" t="s">
        <v>106</v>
      </c>
      <c r="I185" s="2" t="s">
        <v>115</v>
      </c>
      <c r="J185" s="2" t="s">
        <v>116</v>
      </c>
      <c r="K185" s="2">
        <v>3</v>
      </c>
      <c r="L185" s="2">
        <v>2025</v>
      </c>
      <c r="M185" t="s">
        <v>22</v>
      </c>
      <c r="N185" t="s">
        <v>68</v>
      </c>
      <c r="O185" t="s">
        <v>73</v>
      </c>
      <c r="P185">
        <v>14006</v>
      </c>
      <c r="Q185">
        <v>11</v>
      </c>
      <c r="R185" s="4">
        <f>(P185*(1+Q185/100))</f>
        <v>15546.660000000002</v>
      </c>
    </row>
    <row r="186" spans="1:18" x14ac:dyDescent="0.3">
      <c r="A186" t="s">
        <v>14</v>
      </c>
      <c r="B186" t="s">
        <v>27</v>
      </c>
      <c r="C186" t="s">
        <v>32</v>
      </c>
      <c r="D186" t="s">
        <v>47</v>
      </c>
      <c r="E186" t="str">
        <f>IF(F186&lt;5,"Beginner",IF(F186&lt;=10,"Mid-Level","Senior"))</f>
        <v>Senior</v>
      </c>
      <c r="F186" s="2">
        <v>13</v>
      </c>
      <c r="G186" t="s">
        <v>53</v>
      </c>
      <c r="H186" t="s">
        <v>106</v>
      </c>
      <c r="I186" s="2" t="s">
        <v>115</v>
      </c>
      <c r="J186" s="2" t="s">
        <v>116</v>
      </c>
      <c r="K186" s="2">
        <v>3</v>
      </c>
      <c r="L186" s="2">
        <v>2017</v>
      </c>
      <c r="M186" t="s">
        <v>23</v>
      </c>
      <c r="N186" t="s">
        <v>69</v>
      </c>
      <c r="O186" t="s">
        <v>74</v>
      </c>
      <c r="P186">
        <v>14208</v>
      </c>
      <c r="Q186">
        <v>13</v>
      </c>
      <c r="R186" s="4">
        <f>(P186*(1+Q186/100))</f>
        <v>16055.039999999999</v>
      </c>
    </row>
    <row r="187" spans="1:18" x14ac:dyDescent="0.3">
      <c r="A187" t="s">
        <v>14</v>
      </c>
      <c r="B187" t="s">
        <v>29</v>
      </c>
      <c r="C187" t="s">
        <v>5</v>
      </c>
      <c r="D187" t="s">
        <v>48</v>
      </c>
      <c r="E187" t="str">
        <f>IF(F187&lt;5,"Beginner",IF(F187&lt;=10,"Mid-Level","Senior"))</f>
        <v>Senior</v>
      </c>
      <c r="F187" s="2">
        <v>15</v>
      </c>
      <c r="G187" t="s">
        <v>51</v>
      </c>
      <c r="H187" t="s">
        <v>106</v>
      </c>
      <c r="I187" s="2" t="s">
        <v>115</v>
      </c>
      <c r="J187" s="2" t="s">
        <v>116</v>
      </c>
      <c r="K187" s="2">
        <v>3</v>
      </c>
      <c r="L187" s="2">
        <v>2015</v>
      </c>
      <c r="M187" t="s">
        <v>26</v>
      </c>
      <c r="N187" t="s">
        <v>71</v>
      </c>
      <c r="O187" t="s">
        <v>74</v>
      </c>
      <c r="P187">
        <v>12164</v>
      </c>
      <c r="Q187">
        <v>9</v>
      </c>
      <c r="R187" s="4">
        <f>(P187*(1+Q187/100))</f>
        <v>13258.76</v>
      </c>
    </row>
    <row r="188" spans="1:18" x14ac:dyDescent="0.3">
      <c r="A188" t="s">
        <v>14</v>
      </c>
      <c r="B188" t="s">
        <v>31</v>
      </c>
      <c r="C188" t="s">
        <v>39</v>
      </c>
      <c r="D188" t="s">
        <v>47</v>
      </c>
      <c r="E188" t="str">
        <f>IF(F188&lt;5,"Beginner",IF(F188&lt;=10,"Mid-Level","Senior"))</f>
        <v>Mid-Level</v>
      </c>
      <c r="F188" s="2">
        <v>5</v>
      </c>
      <c r="G188" t="s">
        <v>58</v>
      </c>
      <c r="H188" t="s">
        <v>106</v>
      </c>
      <c r="I188" s="2" t="s">
        <v>115</v>
      </c>
      <c r="J188" s="2" t="s">
        <v>116</v>
      </c>
      <c r="K188" s="2">
        <v>3</v>
      </c>
      <c r="L188" s="2">
        <v>2021</v>
      </c>
      <c r="M188" t="s">
        <v>29</v>
      </c>
      <c r="N188" t="s">
        <v>65</v>
      </c>
      <c r="O188" t="s">
        <v>77</v>
      </c>
      <c r="P188">
        <v>12372</v>
      </c>
      <c r="Q188">
        <v>10</v>
      </c>
      <c r="R188" s="4">
        <f>(P188*(1+Q188/100))</f>
        <v>13609.2</v>
      </c>
    </row>
    <row r="189" spans="1:18" x14ac:dyDescent="0.3">
      <c r="A189" t="s">
        <v>14</v>
      </c>
      <c r="B189" t="s">
        <v>23</v>
      </c>
      <c r="C189" t="s">
        <v>40</v>
      </c>
      <c r="D189" t="s">
        <v>45</v>
      </c>
      <c r="E189" t="str">
        <f>IF(F189&lt;5,"Beginner",IF(F189&lt;=10,"Mid-Level","Senior"))</f>
        <v>Senior</v>
      </c>
      <c r="F189" s="2">
        <v>11</v>
      </c>
      <c r="G189" t="s">
        <v>59</v>
      </c>
      <c r="H189" t="s">
        <v>106</v>
      </c>
      <c r="I189" s="2" t="s">
        <v>115</v>
      </c>
      <c r="J189" s="2" t="s">
        <v>116</v>
      </c>
      <c r="K189" s="2">
        <v>3</v>
      </c>
      <c r="L189" s="2">
        <v>2018</v>
      </c>
      <c r="M189" t="s">
        <v>24</v>
      </c>
      <c r="N189" t="s">
        <v>64</v>
      </c>
      <c r="O189" t="s">
        <v>75</v>
      </c>
      <c r="P189">
        <v>8082</v>
      </c>
      <c r="Q189">
        <v>15</v>
      </c>
      <c r="R189" s="4">
        <f>(P189*(1+Q189/100))</f>
        <v>9294.2999999999993</v>
      </c>
    </row>
    <row r="190" spans="1:18" x14ac:dyDescent="0.3">
      <c r="A190" t="s">
        <v>14</v>
      </c>
      <c r="B190" t="s">
        <v>24</v>
      </c>
      <c r="C190" t="s">
        <v>36</v>
      </c>
      <c r="D190" t="s">
        <v>50</v>
      </c>
      <c r="E190" t="str">
        <f>IF(F190&lt;5,"Beginner",IF(F190&lt;=10,"Mid-Level","Senior"))</f>
        <v>Senior</v>
      </c>
      <c r="F190" s="2">
        <v>13</v>
      </c>
      <c r="G190" t="s">
        <v>55</v>
      </c>
      <c r="H190" t="s">
        <v>106</v>
      </c>
      <c r="I190" s="2" t="s">
        <v>115</v>
      </c>
      <c r="J190" s="2" t="s">
        <v>116</v>
      </c>
      <c r="K190" s="2">
        <v>3</v>
      </c>
      <c r="L190" s="2">
        <v>2013</v>
      </c>
      <c r="M190" t="s">
        <v>22</v>
      </c>
      <c r="N190" t="s">
        <v>67</v>
      </c>
      <c r="O190" t="s">
        <v>74</v>
      </c>
      <c r="P190">
        <v>8822</v>
      </c>
      <c r="Q190">
        <v>16</v>
      </c>
      <c r="R190" s="4">
        <f>(P190*(1+Q190/100))</f>
        <v>10233.519999999999</v>
      </c>
    </row>
    <row r="191" spans="1:18" x14ac:dyDescent="0.3">
      <c r="A191" t="s">
        <v>14</v>
      </c>
      <c r="B191" t="s">
        <v>23</v>
      </c>
      <c r="C191" t="s">
        <v>39</v>
      </c>
      <c r="D191" t="s">
        <v>46</v>
      </c>
      <c r="E191" t="str">
        <f>IF(F191&lt;5,"Beginner",IF(F191&lt;=10,"Mid-Level","Senior"))</f>
        <v>Mid-Level</v>
      </c>
      <c r="F191" s="2">
        <v>10</v>
      </c>
      <c r="G191" t="s">
        <v>53</v>
      </c>
      <c r="H191" t="s">
        <v>106</v>
      </c>
      <c r="I191" s="2" t="s">
        <v>115</v>
      </c>
      <c r="J191" s="2" t="s">
        <v>116</v>
      </c>
      <c r="K191" s="2">
        <v>3</v>
      </c>
      <c r="L191" s="2">
        <v>2015</v>
      </c>
      <c r="M191" t="s">
        <v>31</v>
      </c>
      <c r="N191" t="s">
        <v>63</v>
      </c>
      <c r="O191" t="s">
        <v>73</v>
      </c>
      <c r="P191">
        <v>9683</v>
      </c>
      <c r="Q191">
        <v>19</v>
      </c>
      <c r="R191" s="4">
        <f>(P191*(1+Q191/100))</f>
        <v>11522.769999999999</v>
      </c>
    </row>
    <row r="192" spans="1:18" x14ac:dyDescent="0.3">
      <c r="A192" t="s">
        <v>14</v>
      </c>
      <c r="B192" t="s">
        <v>31</v>
      </c>
      <c r="C192" t="s">
        <v>39</v>
      </c>
      <c r="D192" t="s">
        <v>44</v>
      </c>
      <c r="E192" t="str">
        <f>IF(F192&lt;5,"Beginner",IF(F192&lt;=10,"Mid-Level","Senior"))</f>
        <v>Senior</v>
      </c>
      <c r="F192" s="2">
        <v>16</v>
      </c>
      <c r="G192" t="s">
        <v>53</v>
      </c>
      <c r="H192" t="s">
        <v>106</v>
      </c>
      <c r="I192" s="2" t="s">
        <v>115</v>
      </c>
      <c r="J192" s="2" t="s">
        <v>116</v>
      </c>
      <c r="K192" s="2">
        <v>3</v>
      </c>
      <c r="L192" s="2">
        <v>2025</v>
      </c>
      <c r="M192" t="s">
        <v>27</v>
      </c>
      <c r="N192" t="s">
        <v>69</v>
      </c>
      <c r="O192" t="s">
        <v>75</v>
      </c>
      <c r="P192">
        <v>13967</v>
      </c>
      <c r="Q192">
        <v>11</v>
      </c>
      <c r="R192" s="4">
        <f>(P192*(1+Q192/100))</f>
        <v>15503.37</v>
      </c>
    </row>
    <row r="193" spans="1:18" x14ac:dyDescent="0.3">
      <c r="A193" t="s">
        <v>14</v>
      </c>
      <c r="B193" t="s">
        <v>29</v>
      </c>
      <c r="C193" t="s">
        <v>32</v>
      </c>
      <c r="D193" t="s">
        <v>46</v>
      </c>
      <c r="E193" t="str">
        <f>IF(F193&lt;5,"Beginner",IF(F193&lt;=10,"Mid-Level","Senior"))</f>
        <v>Senior</v>
      </c>
      <c r="F193" s="2">
        <v>19</v>
      </c>
      <c r="G193" t="s">
        <v>56</v>
      </c>
      <c r="H193" t="s">
        <v>106</v>
      </c>
      <c r="I193" s="2" t="s">
        <v>115</v>
      </c>
      <c r="J193" s="2" t="s">
        <v>116</v>
      </c>
      <c r="K193" s="2">
        <v>3</v>
      </c>
      <c r="L193" s="2">
        <v>2022</v>
      </c>
      <c r="M193" t="s">
        <v>27</v>
      </c>
      <c r="N193" t="s">
        <v>69</v>
      </c>
      <c r="O193" t="s">
        <v>75</v>
      </c>
      <c r="P193">
        <v>9072</v>
      </c>
      <c r="Q193">
        <v>12</v>
      </c>
      <c r="R193" s="4">
        <f>(P193*(1+Q193/100))</f>
        <v>10160.640000000001</v>
      </c>
    </row>
    <row r="194" spans="1:18" x14ac:dyDescent="0.3">
      <c r="A194" t="s">
        <v>14</v>
      </c>
      <c r="B194" t="s">
        <v>31</v>
      </c>
      <c r="C194" t="s">
        <v>39</v>
      </c>
      <c r="D194" t="s">
        <v>50</v>
      </c>
      <c r="E194" t="str">
        <f>IF(F194&lt;5,"Beginner",IF(F194&lt;=10,"Mid-Level","Senior"))</f>
        <v>Mid-Level</v>
      </c>
      <c r="F194" s="2">
        <v>9</v>
      </c>
      <c r="G194" t="s">
        <v>59</v>
      </c>
      <c r="H194" t="s">
        <v>106</v>
      </c>
      <c r="I194" s="2" t="s">
        <v>115</v>
      </c>
      <c r="J194" s="2" t="s">
        <v>116</v>
      </c>
      <c r="K194" s="2">
        <v>3</v>
      </c>
      <c r="L194" s="2">
        <v>2016</v>
      </c>
      <c r="M194" t="s">
        <v>31</v>
      </c>
      <c r="N194" t="s">
        <v>70</v>
      </c>
      <c r="O194" t="s">
        <v>75</v>
      </c>
      <c r="P194">
        <v>12339</v>
      </c>
      <c r="Q194">
        <v>11</v>
      </c>
      <c r="R194" s="4">
        <f>(P194*(1+Q194/100))</f>
        <v>13696.29</v>
      </c>
    </row>
    <row r="195" spans="1:18" x14ac:dyDescent="0.3">
      <c r="A195" t="s">
        <v>14</v>
      </c>
      <c r="B195" t="s">
        <v>28</v>
      </c>
      <c r="C195" t="s">
        <v>33</v>
      </c>
      <c r="D195" t="s">
        <v>44</v>
      </c>
      <c r="E195" t="str">
        <f>IF(F195&lt;5,"Beginner",IF(F195&lt;=10,"Mid-Level","Senior"))</f>
        <v>Beginner</v>
      </c>
      <c r="F195" s="2">
        <v>3</v>
      </c>
      <c r="G195" t="s">
        <v>56</v>
      </c>
      <c r="H195" t="s">
        <v>106</v>
      </c>
      <c r="I195" s="2" t="s">
        <v>115</v>
      </c>
      <c r="J195" s="2" t="s">
        <v>116</v>
      </c>
      <c r="K195" s="2">
        <v>3</v>
      </c>
      <c r="L195" s="2">
        <v>2010</v>
      </c>
      <c r="M195" t="s">
        <v>26</v>
      </c>
      <c r="N195" t="s">
        <v>70</v>
      </c>
      <c r="O195" t="s">
        <v>73</v>
      </c>
      <c r="P195">
        <v>13865</v>
      </c>
      <c r="Q195">
        <v>15</v>
      </c>
      <c r="R195" s="4">
        <f>(P195*(1+Q195/100))</f>
        <v>15944.749999999998</v>
      </c>
    </row>
    <row r="196" spans="1:18" x14ac:dyDescent="0.3">
      <c r="A196" t="s">
        <v>14</v>
      </c>
      <c r="B196" t="s">
        <v>22</v>
      </c>
      <c r="C196" t="s">
        <v>33</v>
      </c>
      <c r="D196" t="s">
        <v>48</v>
      </c>
      <c r="E196" t="str">
        <f>IF(F196&lt;5,"Beginner",IF(F196&lt;=10,"Mid-Level","Senior"))</f>
        <v>Senior</v>
      </c>
      <c r="F196" s="2">
        <v>11</v>
      </c>
      <c r="G196" t="s">
        <v>59</v>
      </c>
      <c r="H196" t="s">
        <v>106</v>
      </c>
      <c r="I196" s="2" t="s">
        <v>115</v>
      </c>
      <c r="J196" s="2" t="s">
        <v>116</v>
      </c>
      <c r="K196" s="2">
        <v>3</v>
      </c>
      <c r="L196" s="2">
        <v>2011</v>
      </c>
      <c r="M196" t="s">
        <v>30</v>
      </c>
      <c r="N196" t="s">
        <v>71</v>
      </c>
      <c r="O196" t="s">
        <v>75</v>
      </c>
      <c r="P196">
        <v>9109</v>
      </c>
      <c r="Q196">
        <v>10</v>
      </c>
      <c r="R196" s="4">
        <f>(P196*(1+Q196/100))</f>
        <v>10019.900000000001</v>
      </c>
    </row>
    <row r="197" spans="1:18" x14ac:dyDescent="0.3">
      <c r="A197" t="s">
        <v>14</v>
      </c>
      <c r="B197" t="s">
        <v>24</v>
      </c>
      <c r="C197" t="s">
        <v>5</v>
      </c>
      <c r="D197" t="s">
        <v>41</v>
      </c>
      <c r="E197" t="str">
        <f>IF(F197&lt;5,"Beginner",IF(F197&lt;=10,"Mid-Level","Senior"))</f>
        <v>Beginner</v>
      </c>
      <c r="F197" s="2">
        <v>4</v>
      </c>
      <c r="G197" t="s">
        <v>54</v>
      </c>
      <c r="H197" t="s">
        <v>106</v>
      </c>
      <c r="I197" s="2" t="s">
        <v>115</v>
      </c>
      <c r="J197" s="2" t="s">
        <v>116</v>
      </c>
      <c r="K197" s="2">
        <v>3</v>
      </c>
      <c r="L197" s="2">
        <v>2024</v>
      </c>
      <c r="M197" t="s">
        <v>27</v>
      </c>
      <c r="N197" t="s">
        <v>70</v>
      </c>
      <c r="O197" t="s">
        <v>77</v>
      </c>
      <c r="P197">
        <v>11558</v>
      </c>
      <c r="Q197">
        <v>9</v>
      </c>
      <c r="R197" s="4">
        <f>(P197*(1+Q197/100))</f>
        <v>12598.220000000001</v>
      </c>
    </row>
    <row r="198" spans="1:18" x14ac:dyDescent="0.3">
      <c r="A198" t="s">
        <v>14</v>
      </c>
      <c r="B198" t="s">
        <v>30</v>
      </c>
      <c r="C198" t="s">
        <v>40</v>
      </c>
      <c r="D198" t="s">
        <v>45</v>
      </c>
      <c r="E198" t="str">
        <f>IF(F198&lt;5,"Beginner",IF(F198&lt;=10,"Mid-Level","Senior"))</f>
        <v>Senior</v>
      </c>
      <c r="F198" s="2">
        <v>11</v>
      </c>
      <c r="G198" t="s">
        <v>53</v>
      </c>
      <c r="H198" t="s">
        <v>106</v>
      </c>
      <c r="I198" s="2" t="s">
        <v>115</v>
      </c>
      <c r="J198" s="2" t="s">
        <v>116</v>
      </c>
      <c r="K198" s="2">
        <v>3</v>
      </c>
      <c r="L198" s="2">
        <v>2010</v>
      </c>
      <c r="M198" t="s">
        <v>23</v>
      </c>
      <c r="N198" t="s">
        <v>68</v>
      </c>
      <c r="O198" t="s">
        <v>74</v>
      </c>
      <c r="P198">
        <v>8524</v>
      </c>
      <c r="Q198">
        <v>13</v>
      </c>
      <c r="R198" s="4">
        <f>(P198*(1+Q198/100))</f>
        <v>9632.119999999999</v>
      </c>
    </row>
    <row r="199" spans="1:18" x14ac:dyDescent="0.3">
      <c r="A199" t="s">
        <v>14</v>
      </c>
      <c r="B199" t="s">
        <v>30</v>
      </c>
      <c r="C199" t="s">
        <v>36</v>
      </c>
      <c r="D199" t="s">
        <v>41</v>
      </c>
      <c r="E199" t="str">
        <f>IF(F199&lt;5,"Beginner",IF(F199&lt;=10,"Mid-Level","Senior"))</f>
        <v>Mid-Level</v>
      </c>
      <c r="F199" s="2">
        <v>10</v>
      </c>
      <c r="G199" t="s">
        <v>51</v>
      </c>
      <c r="H199" t="s">
        <v>106</v>
      </c>
      <c r="I199" s="2" t="s">
        <v>115</v>
      </c>
      <c r="J199" s="2" t="s">
        <v>116</v>
      </c>
      <c r="K199" s="2">
        <v>3</v>
      </c>
      <c r="L199" s="2">
        <v>2013</v>
      </c>
      <c r="M199" t="s">
        <v>29</v>
      </c>
      <c r="N199" t="s">
        <v>64</v>
      </c>
      <c r="O199" t="s">
        <v>74</v>
      </c>
      <c r="P199">
        <v>12916</v>
      </c>
      <c r="Q199">
        <v>9</v>
      </c>
      <c r="R199" s="4">
        <f>(P199*(1+Q199/100))</f>
        <v>14078.44</v>
      </c>
    </row>
    <row r="200" spans="1:18" x14ac:dyDescent="0.3">
      <c r="A200" t="s">
        <v>14</v>
      </c>
      <c r="B200" t="s">
        <v>22</v>
      </c>
      <c r="C200" t="s">
        <v>36</v>
      </c>
      <c r="D200" t="s">
        <v>44</v>
      </c>
      <c r="E200" t="str">
        <f>IF(F200&lt;5,"Beginner",IF(F200&lt;=10,"Mid-Level","Senior"))</f>
        <v>Mid-Level</v>
      </c>
      <c r="F200" s="2">
        <v>8</v>
      </c>
      <c r="G200" t="s">
        <v>52</v>
      </c>
      <c r="H200" t="s">
        <v>106</v>
      </c>
      <c r="I200" s="2" t="s">
        <v>115</v>
      </c>
      <c r="J200" s="2" t="s">
        <v>116</v>
      </c>
      <c r="K200" s="2">
        <v>3</v>
      </c>
      <c r="L200" s="2">
        <v>2018</v>
      </c>
      <c r="M200" t="s">
        <v>31</v>
      </c>
      <c r="N200" t="s">
        <v>66</v>
      </c>
      <c r="O200" t="s">
        <v>73</v>
      </c>
      <c r="P200">
        <v>9235</v>
      </c>
      <c r="Q200">
        <v>16</v>
      </c>
      <c r="R200" s="4">
        <f>(P200*(1+Q200/100))</f>
        <v>10712.599999999999</v>
      </c>
    </row>
    <row r="201" spans="1:18" x14ac:dyDescent="0.3">
      <c r="A201" t="s">
        <v>14</v>
      </c>
      <c r="B201" t="s">
        <v>31</v>
      </c>
      <c r="C201" t="s">
        <v>5</v>
      </c>
      <c r="D201" t="s">
        <v>41</v>
      </c>
      <c r="E201" t="str">
        <f>IF(F201&lt;5,"Beginner",IF(F201&lt;=10,"Mid-Level","Senior"))</f>
        <v>Senior</v>
      </c>
      <c r="F201" s="2">
        <v>17</v>
      </c>
      <c r="G201" t="s">
        <v>53</v>
      </c>
      <c r="H201" t="s">
        <v>106</v>
      </c>
      <c r="I201" s="2" t="s">
        <v>115</v>
      </c>
      <c r="J201" s="2" t="s">
        <v>116</v>
      </c>
      <c r="K201" s="2">
        <v>3</v>
      </c>
      <c r="L201" s="2">
        <v>2017</v>
      </c>
      <c r="M201" t="s">
        <v>24</v>
      </c>
      <c r="N201" t="s">
        <v>67</v>
      </c>
      <c r="O201" t="s">
        <v>74</v>
      </c>
      <c r="P201">
        <v>13013</v>
      </c>
      <c r="Q201">
        <v>13</v>
      </c>
      <c r="R201" s="4">
        <f>(P201*(1+Q201/100))</f>
        <v>14704.689999999999</v>
      </c>
    </row>
    <row r="202" spans="1:18" x14ac:dyDescent="0.3">
      <c r="A202" t="s">
        <v>14</v>
      </c>
      <c r="B202" t="s">
        <v>27</v>
      </c>
      <c r="C202" t="s">
        <v>35</v>
      </c>
      <c r="D202" t="s">
        <v>49</v>
      </c>
      <c r="E202" t="str">
        <f>IF(F202&lt;5,"Beginner",IF(F202&lt;=10,"Mid-Level","Senior"))</f>
        <v>Mid-Level</v>
      </c>
      <c r="F202" s="2">
        <v>7</v>
      </c>
      <c r="G202" t="s">
        <v>54</v>
      </c>
      <c r="H202" t="s">
        <v>106</v>
      </c>
      <c r="I202" s="2" t="s">
        <v>115</v>
      </c>
      <c r="J202" s="2" t="s">
        <v>116</v>
      </c>
      <c r="K202" s="2">
        <v>3</v>
      </c>
      <c r="L202" s="2">
        <v>2017</v>
      </c>
      <c r="M202" t="s">
        <v>31</v>
      </c>
      <c r="N202" t="s">
        <v>69</v>
      </c>
      <c r="O202" t="s">
        <v>74</v>
      </c>
      <c r="P202">
        <v>9086</v>
      </c>
      <c r="Q202">
        <v>20</v>
      </c>
      <c r="R202" s="4">
        <f>(P202*(1+Q202/100))</f>
        <v>10903.199999999999</v>
      </c>
    </row>
    <row r="203" spans="1:18" x14ac:dyDescent="0.3">
      <c r="A203" t="s">
        <v>14</v>
      </c>
      <c r="B203" t="s">
        <v>28</v>
      </c>
      <c r="C203" t="s">
        <v>40</v>
      </c>
      <c r="D203" t="s">
        <v>47</v>
      </c>
      <c r="E203" t="str">
        <f>IF(F203&lt;5,"Beginner",IF(F203&lt;=10,"Mid-Level","Senior"))</f>
        <v>Senior</v>
      </c>
      <c r="F203" s="2">
        <v>14</v>
      </c>
      <c r="G203" t="s">
        <v>57</v>
      </c>
      <c r="H203" t="s">
        <v>106</v>
      </c>
      <c r="I203" s="2" t="s">
        <v>115</v>
      </c>
      <c r="J203" s="2" t="s">
        <v>116</v>
      </c>
      <c r="K203" s="2">
        <v>3</v>
      </c>
      <c r="L203" s="2">
        <v>2022</v>
      </c>
      <c r="M203" t="s">
        <v>24</v>
      </c>
      <c r="N203" t="s">
        <v>71</v>
      </c>
      <c r="O203" t="s">
        <v>77</v>
      </c>
      <c r="P203">
        <v>11319</v>
      </c>
      <c r="Q203">
        <v>19</v>
      </c>
      <c r="R203" s="4">
        <f>(P203*(1+Q203/100))</f>
        <v>13469.609999999999</v>
      </c>
    </row>
    <row r="204" spans="1:18" x14ac:dyDescent="0.3">
      <c r="A204" t="s">
        <v>14</v>
      </c>
      <c r="B204" t="s">
        <v>25</v>
      </c>
      <c r="C204" t="s">
        <v>34</v>
      </c>
      <c r="D204" t="s">
        <v>49</v>
      </c>
      <c r="E204" t="str">
        <f>IF(F204&lt;5,"Beginner",IF(F204&lt;=10,"Mid-Level","Senior"))</f>
        <v>Mid-Level</v>
      </c>
      <c r="F204" s="2">
        <v>10</v>
      </c>
      <c r="G204" t="s">
        <v>53</v>
      </c>
      <c r="H204" t="s">
        <v>106</v>
      </c>
      <c r="I204" s="2" t="s">
        <v>115</v>
      </c>
      <c r="J204" s="2" t="s">
        <v>116</v>
      </c>
      <c r="K204" s="2">
        <v>3</v>
      </c>
      <c r="L204" s="2">
        <v>2014</v>
      </c>
      <c r="M204" t="s">
        <v>25</v>
      </c>
      <c r="N204" t="s">
        <v>66</v>
      </c>
      <c r="O204" t="s">
        <v>73</v>
      </c>
      <c r="P204">
        <v>8549</v>
      </c>
      <c r="Q204">
        <v>16</v>
      </c>
      <c r="R204" s="4">
        <f>(P204*(1+Q204/100))</f>
        <v>9916.84</v>
      </c>
    </row>
    <row r="205" spans="1:18" x14ac:dyDescent="0.3">
      <c r="A205" t="s">
        <v>14</v>
      </c>
      <c r="B205" t="s">
        <v>24</v>
      </c>
      <c r="C205" t="s">
        <v>35</v>
      </c>
      <c r="D205" t="s">
        <v>41</v>
      </c>
      <c r="E205" t="str">
        <f>IF(F205&lt;5,"Beginner",IF(F205&lt;=10,"Mid-Level","Senior"))</f>
        <v>Mid-Level</v>
      </c>
      <c r="F205" s="2">
        <v>10</v>
      </c>
      <c r="G205" t="s">
        <v>51</v>
      </c>
      <c r="H205" t="s">
        <v>106</v>
      </c>
      <c r="I205" s="2" t="s">
        <v>115</v>
      </c>
      <c r="J205" s="2" t="s">
        <v>116</v>
      </c>
      <c r="K205" s="2">
        <v>3</v>
      </c>
      <c r="L205" s="2">
        <v>2015</v>
      </c>
      <c r="M205" t="s">
        <v>22</v>
      </c>
      <c r="N205" t="s">
        <v>67</v>
      </c>
      <c r="O205" t="s">
        <v>76</v>
      </c>
      <c r="P205">
        <v>9430</v>
      </c>
      <c r="Q205">
        <v>19</v>
      </c>
      <c r="R205" s="4">
        <f>(P205*(1+Q205/100))</f>
        <v>11221.699999999999</v>
      </c>
    </row>
    <row r="206" spans="1:18" x14ac:dyDescent="0.3">
      <c r="A206" t="s">
        <v>14</v>
      </c>
      <c r="B206" t="s">
        <v>31</v>
      </c>
      <c r="C206" t="s">
        <v>34</v>
      </c>
      <c r="D206" t="s">
        <v>46</v>
      </c>
      <c r="E206" t="str">
        <f>IF(F206&lt;5,"Beginner",IF(F206&lt;=10,"Mid-Level","Senior"))</f>
        <v>Beginner</v>
      </c>
      <c r="F206" s="2">
        <v>4</v>
      </c>
      <c r="G206" t="s">
        <v>58</v>
      </c>
      <c r="H206" t="s">
        <v>106</v>
      </c>
      <c r="I206" s="2" t="s">
        <v>115</v>
      </c>
      <c r="J206" s="2" t="s">
        <v>116</v>
      </c>
      <c r="K206" s="2">
        <v>3</v>
      </c>
      <c r="L206" s="2">
        <v>2019</v>
      </c>
      <c r="M206" t="s">
        <v>25</v>
      </c>
      <c r="N206" t="s">
        <v>69</v>
      </c>
      <c r="O206" t="s">
        <v>76</v>
      </c>
      <c r="P206">
        <v>8407</v>
      </c>
      <c r="Q206">
        <v>11</v>
      </c>
      <c r="R206" s="4">
        <f>(P206*(1+Q206/100))</f>
        <v>9331.77</v>
      </c>
    </row>
    <row r="207" spans="1:18" x14ac:dyDescent="0.3">
      <c r="A207" t="s">
        <v>14</v>
      </c>
      <c r="B207" t="s">
        <v>30</v>
      </c>
      <c r="C207" t="s">
        <v>34</v>
      </c>
      <c r="D207" t="s">
        <v>43</v>
      </c>
      <c r="E207" t="str">
        <f>IF(F207&lt;5,"Beginner",IF(F207&lt;=10,"Mid-Level","Senior"))</f>
        <v>Senior</v>
      </c>
      <c r="F207" s="2">
        <v>18</v>
      </c>
      <c r="G207" t="s">
        <v>56</v>
      </c>
      <c r="H207" t="s">
        <v>106</v>
      </c>
      <c r="I207" s="2" t="s">
        <v>115</v>
      </c>
      <c r="J207" s="2" t="s">
        <v>116</v>
      </c>
      <c r="K207" s="2">
        <v>3</v>
      </c>
      <c r="L207" s="2">
        <v>2025</v>
      </c>
      <c r="M207" t="s">
        <v>31</v>
      </c>
      <c r="N207" t="s">
        <v>70</v>
      </c>
      <c r="O207" t="s">
        <v>76</v>
      </c>
      <c r="P207">
        <v>9140</v>
      </c>
      <c r="Q207">
        <v>14</v>
      </c>
      <c r="R207" s="4">
        <f>(P207*(1+Q207/100))</f>
        <v>10419.6</v>
      </c>
    </row>
    <row r="208" spans="1:18" x14ac:dyDescent="0.3">
      <c r="A208" t="s">
        <v>14</v>
      </c>
      <c r="B208" t="s">
        <v>27</v>
      </c>
      <c r="C208" t="s">
        <v>5</v>
      </c>
      <c r="D208" t="s">
        <v>44</v>
      </c>
      <c r="E208" t="str">
        <f>IF(F208&lt;5,"Beginner",IF(F208&lt;=10,"Mid-Level","Senior"))</f>
        <v>Senior</v>
      </c>
      <c r="F208" s="2">
        <v>16</v>
      </c>
      <c r="G208" t="s">
        <v>57</v>
      </c>
      <c r="H208" t="s">
        <v>106</v>
      </c>
      <c r="I208" s="2" t="s">
        <v>115</v>
      </c>
      <c r="J208" s="2" t="s">
        <v>116</v>
      </c>
      <c r="K208" s="2">
        <v>3</v>
      </c>
      <c r="L208" s="2">
        <v>2025</v>
      </c>
      <c r="M208" t="s">
        <v>27</v>
      </c>
      <c r="N208" t="s">
        <v>66</v>
      </c>
      <c r="O208" t="s">
        <v>74</v>
      </c>
      <c r="P208">
        <v>10141</v>
      </c>
      <c r="Q208">
        <v>18</v>
      </c>
      <c r="R208" s="4">
        <f>(P208*(1+Q208/100))</f>
        <v>11966.38</v>
      </c>
    </row>
    <row r="209" spans="1:18" x14ac:dyDescent="0.3">
      <c r="A209" t="s">
        <v>14</v>
      </c>
      <c r="B209" t="s">
        <v>23</v>
      </c>
      <c r="C209" t="s">
        <v>36</v>
      </c>
      <c r="D209" t="s">
        <v>48</v>
      </c>
      <c r="E209" t="str">
        <f>IF(F209&lt;5,"Beginner",IF(F209&lt;=10,"Mid-Level","Senior"))</f>
        <v>Mid-Level</v>
      </c>
      <c r="F209" s="2">
        <v>6</v>
      </c>
      <c r="G209" t="s">
        <v>51</v>
      </c>
      <c r="H209" t="s">
        <v>106</v>
      </c>
      <c r="I209" s="2" t="s">
        <v>115</v>
      </c>
      <c r="J209" s="2" t="s">
        <v>116</v>
      </c>
      <c r="K209" s="2">
        <v>3</v>
      </c>
      <c r="L209" s="2">
        <v>2012</v>
      </c>
      <c r="M209" t="s">
        <v>26</v>
      </c>
      <c r="N209" t="s">
        <v>70</v>
      </c>
      <c r="O209" t="s">
        <v>76</v>
      </c>
      <c r="P209">
        <v>14201</v>
      </c>
      <c r="Q209">
        <v>10</v>
      </c>
      <c r="R209" s="4">
        <f>(P209*(1+Q209/100))</f>
        <v>15621.1</v>
      </c>
    </row>
    <row r="210" spans="1:18" x14ac:dyDescent="0.3">
      <c r="A210" t="s">
        <v>13</v>
      </c>
      <c r="B210" t="s">
        <v>25</v>
      </c>
      <c r="C210" t="s">
        <v>35</v>
      </c>
      <c r="D210" t="s">
        <v>45</v>
      </c>
      <c r="E210" t="str">
        <f>IF(F210&lt;5,"Beginner",IF(F210&lt;=10,"Mid-Level","Senior"))</f>
        <v>Beginner</v>
      </c>
      <c r="F210" s="2">
        <v>3</v>
      </c>
      <c r="G210" t="s">
        <v>56</v>
      </c>
      <c r="H210" t="s">
        <v>106</v>
      </c>
      <c r="I210" s="2" t="s">
        <v>107</v>
      </c>
      <c r="J210" s="2" t="s">
        <v>108</v>
      </c>
      <c r="K210" s="2">
        <v>3</v>
      </c>
      <c r="L210" s="2">
        <v>2010</v>
      </c>
      <c r="M210" t="s">
        <v>30</v>
      </c>
      <c r="N210" t="s">
        <v>65</v>
      </c>
      <c r="O210" t="s">
        <v>77</v>
      </c>
      <c r="P210">
        <v>12037</v>
      </c>
      <c r="Q210">
        <v>17</v>
      </c>
      <c r="R210" s="4">
        <f>(P210*(1+Q210/100))</f>
        <v>14083.289999999999</v>
      </c>
    </row>
    <row r="211" spans="1:18" x14ac:dyDescent="0.3">
      <c r="A211" t="s">
        <v>13</v>
      </c>
      <c r="B211" t="s">
        <v>27</v>
      </c>
      <c r="C211" t="s">
        <v>37</v>
      </c>
      <c r="D211" t="s">
        <v>46</v>
      </c>
      <c r="E211" t="str">
        <f>IF(F211&lt;5,"Beginner",IF(F211&lt;=10,"Mid-Level","Senior"))</f>
        <v>Senior</v>
      </c>
      <c r="F211" s="2">
        <v>14</v>
      </c>
      <c r="G211" t="s">
        <v>57</v>
      </c>
      <c r="H211" t="s">
        <v>106</v>
      </c>
      <c r="I211" s="2" t="s">
        <v>107</v>
      </c>
      <c r="J211" s="2" t="s">
        <v>108</v>
      </c>
      <c r="K211" s="2">
        <v>3</v>
      </c>
      <c r="L211" s="2">
        <v>2021</v>
      </c>
      <c r="M211" t="s">
        <v>24</v>
      </c>
      <c r="N211" t="s">
        <v>68</v>
      </c>
      <c r="O211" t="s">
        <v>73</v>
      </c>
      <c r="P211">
        <v>14126</v>
      </c>
      <c r="Q211">
        <v>10</v>
      </c>
      <c r="R211" s="4">
        <f>(P211*(1+Q211/100))</f>
        <v>15538.6</v>
      </c>
    </row>
    <row r="212" spans="1:18" x14ac:dyDescent="0.3">
      <c r="A212" t="s">
        <v>13</v>
      </c>
      <c r="B212" t="s">
        <v>22</v>
      </c>
      <c r="C212" t="s">
        <v>33</v>
      </c>
      <c r="D212" t="s">
        <v>45</v>
      </c>
      <c r="E212" t="str">
        <f>IF(F212&lt;5,"Beginner",IF(F212&lt;=10,"Mid-Level","Senior"))</f>
        <v>Senior</v>
      </c>
      <c r="F212" s="2">
        <v>13</v>
      </c>
      <c r="G212" t="s">
        <v>59</v>
      </c>
      <c r="H212" t="s">
        <v>106</v>
      </c>
      <c r="I212" s="2" t="s">
        <v>107</v>
      </c>
      <c r="J212" s="2" t="s">
        <v>108</v>
      </c>
      <c r="K212" s="2">
        <v>3</v>
      </c>
      <c r="L212" s="2">
        <v>2013</v>
      </c>
      <c r="M212" t="s">
        <v>24</v>
      </c>
      <c r="N212" t="s">
        <v>64</v>
      </c>
      <c r="O212" t="s">
        <v>73</v>
      </c>
      <c r="P212">
        <v>17918</v>
      </c>
      <c r="Q212">
        <v>20</v>
      </c>
      <c r="R212" s="4">
        <f>(P212*(1+Q212/100))</f>
        <v>21501.599999999999</v>
      </c>
    </row>
    <row r="213" spans="1:18" x14ac:dyDescent="0.3">
      <c r="A213" t="s">
        <v>13</v>
      </c>
      <c r="B213" t="s">
        <v>28</v>
      </c>
      <c r="C213" t="s">
        <v>39</v>
      </c>
      <c r="D213" t="s">
        <v>50</v>
      </c>
      <c r="E213" t="str">
        <f>IF(F213&lt;5,"Beginner",IF(F213&lt;=10,"Mid-Level","Senior"))</f>
        <v>Senior</v>
      </c>
      <c r="F213" s="2">
        <v>13</v>
      </c>
      <c r="G213" t="s">
        <v>55</v>
      </c>
      <c r="H213" t="s">
        <v>106</v>
      </c>
      <c r="I213" s="2" t="s">
        <v>107</v>
      </c>
      <c r="J213" s="2" t="s">
        <v>108</v>
      </c>
      <c r="K213" s="2">
        <v>3</v>
      </c>
      <c r="L213" s="2">
        <v>2013</v>
      </c>
      <c r="M213" t="s">
        <v>26</v>
      </c>
      <c r="N213" t="s">
        <v>64</v>
      </c>
      <c r="O213" t="s">
        <v>76</v>
      </c>
      <c r="P213">
        <v>10817</v>
      </c>
      <c r="Q213">
        <v>11</v>
      </c>
      <c r="R213" s="4">
        <f>(P213*(1+Q213/100))</f>
        <v>12006.87</v>
      </c>
    </row>
    <row r="214" spans="1:18" x14ac:dyDescent="0.3">
      <c r="A214" t="s">
        <v>13</v>
      </c>
      <c r="B214" t="s">
        <v>31</v>
      </c>
      <c r="C214" t="s">
        <v>40</v>
      </c>
      <c r="D214" t="s">
        <v>44</v>
      </c>
      <c r="E214" t="str">
        <f>IF(F214&lt;5,"Beginner",IF(F214&lt;=10,"Mid-Level","Senior"))</f>
        <v>Senior</v>
      </c>
      <c r="F214" s="2">
        <v>14</v>
      </c>
      <c r="G214" t="s">
        <v>52</v>
      </c>
      <c r="H214" t="s">
        <v>106</v>
      </c>
      <c r="I214" s="2" t="s">
        <v>107</v>
      </c>
      <c r="J214" s="2" t="s">
        <v>108</v>
      </c>
      <c r="K214" s="2">
        <v>3</v>
      </c>
      <c r="L214" s="2">
        <v>2020</v>
      </c>
      <c r="M214" t="s">
        <v>26</v>
      </c>
      <c r="N214" t="s">
        <v>66</v>
      </c>
      <c r="O214" t="s">
        <v>75</v>
      </c>
      <c r="P214">
        <v>14036</v>
      </c>
      <c r="Q214">
        <v>22</v>
      </c>
      <c r="R214" s="4">
        <f>(P214*(1+Q214/100))</f>
        <v>17123.919999999998</v>
      </c>
    </row>
    <row r="215" spans="1:18" x14ac:dyDescent="0.3">
      <c r="A215" t="s">
        <v>13</v>
      </c>
      <c r="B215" t="s">
        <v>27</v>
      </c>
      <c r="C215" t="s">
        <v>36</v>
      </c>
      <c r="D215" t="s">
        <v>42</v>
      </c>
      <c r="E215" t="str">
        <f>IF(F215&lt;5,"Beginner",IF(F215&lt;=10,"Mid-Level","Senior"))</f>
        <v>Beginner</v>
      </c>
      <c r="F215" s="2">
        <v>4</v>
      </c>
      <c r="G215" t="s">
        <v>56</v>
      </c>
      <c r="H215" t="s">
        <v>106</v>
      </c>
      <c r="I215" s="2" t="s">
        <v>107</v>
      </c>
      <c r="J215" s="2" t="s">
        <v>108</v>
      </c>
      <c r="K215" s="2">
        <v>3</v>
      </c>
      <c r="L215" s="2">
        <v>2010</v>
      </c>
      <c r="M215" t="s">
        <v>30</v>
      </c>
      <c r="N215" t="s">
        <v>71</v>
      </c>
      <c r="O215" t="s">
        <v>76</v>
      </c>
      <c r="P215">
        <v>13708</v>
      </c>
      <c r="Q215">
        <v>21</v>
      </c>
      <c r="R215" s="4">
        <f>(P215*(1+Q215/100))</f>
        <v>16586.68</v>
      </c>
    </row>
    <row r="216" spans="1:18" x14ac:dyDescent="0.3">
      <c r="A216" t="s">
        <v>13</v>
      </c>
      <c r="B216" t="s">
        <v>23</v>
      </c>
      <c r="C216" t="s">
        <v>33</v>
      </c>
      <c r="D216" t="s">
        <v>48</v>
      </c>
      <c r="E216" t="str">
        <f>IF(F216&lt;5,"Beginner",IF(F216&lt;=10,"Mid-Level","Senior"))</f>
        <v>Beginner</v>
      </c>
      <c r="F216" s="2">
        <v>2</v>
      </c>
      <c r="G216" t="s">
        <v>55</v>
      </c>
      <c r="H216" t="s">
        <v>106</v>
      </c>
      <c r="I216" s="2" t="s">
        <v>107</v>
      </c>
      <c r="J216" s="2" t="s">
        <v>108</v>
      </c>
      <c r="K216" s="2">
        <v>3</v>
      </c>
      <c r="L216" s="2">
        <v>2016</v>
      </c>
      <c r="M216" t="s">
        <v>28</v>
      </c>
      <c r="N216" t="s">
        <v>64</v>
      </c>
      <c r="O216" t="s">
        <v>77</v>
      </c>
      <c r="P216">
        <v>10707</v>
      </c>
      <c r="Q216">
        <v>15</v>
      </c>
      <c r="R216" s="4">
        <f>(P216*(1+Q216/100))</f>
        <v>12313.05</v>
      </c>
    </row>
    <row r="217" spans="1:18" x14ac:dyDescent="0.3">
      <c r="A217" t="s">
        <v>13</v>
      </c>
      <c r="B217" t="s">
        <v>22</v>
      </c>
      <c r="C217" t="s">
        <v>39</v>
      </c>
      <c r="D217" t="s">
        <v>44</v>
      </c>
      <c r="E217" t="str">
        <f>IF(F217&lt;5,"Beginner",IF(F217&lt;=10,"Mid-Level","Senior"))</f>
        <v>Mid-Level</v>
      </c>
      <c r="F217" s="2">
        <v>10</v>
      </c>
      <c r="G217" t="s">
        <v>58</v>
      </c>
      <c r="H217" t="s">
        <v>106</v>
      </c>
      <c r="I217" s="2" t="s">
        <v>107</v>
      </c>
      <c r="J217" s="2" t="s">
        <v>108</v>
      </c>
      <c r="K217" s="2">
        <v>3</v>
      </c>
      <c r="L217" s="2">
        <v>2023</v>
      </c>
      <c r="M217" t="s">
        <v>25</v>
      </c>
      <c r="N217" t="s">
        <v>65</v>
      </c>
      <c r="O217" t="s">
        <v>73</v>
      </c>
      <c r="P217">
        <v>13387</v>
      </c>
      <c r="Q217">
        <v>16</v>
      </c>
      <c r="R217" s="4">
        <f>(P217*(1+Q217/100))</f>
        <v>15528.919999999998</v>
      </c>
    </row>
    <row r="218" spans="1:18" x14ac:dyDescent="0.3">
      <c r="A218" t="s">
        <v>13</v>
      </c>
      <c r="B218" t="s">
        <v>28</v>
      </c>
      <c r="C218" t="s">
        <v>33</v>
      </c>
      <c r="D218" t="s">
        <v>44</v>
      </c>
      <c r="E218" t="str">
        <f>IF(F218&lt;5,"Beginner",IF(F218&lt;=10,"Mid-Level","Senior"))</f>
        <v>Senior</v>
      </c>
      <c r="F218" s="2">
        <v>12</v>
      </c>
      <c r="G218" t="s">
        <v>58</v>
      </c>
      <c r="H218" t="s">
        <v>106</v>
      </c>
      <c r="I218" s="2" t="s">
        <v>107</v>
      </c>
      <c r="J218" s="2" t="s">
        <v>108</v>
      </c>
      <c r="K218" s="2">
        <v>3</v>
      </c>
      <c r="L218" s="2">
        <v>2014</v>
      </c>
      <c r="M218" t="s">
        <v>25</v>
      </c>
      <c r="N218" t="s">
        <v>71</v>
      </c>
      <c r="O218" t="s">
        <v>74</v>
      </c>
      <c r="P218">
        <v>10128</v>
      </c>
      <c r="Q218">
        <v>10</v>
      </c>
      <c r="R218" s="4">
        <f>(P218*(1+Q218/100))</f>
        <v>11140.800000000001</v>
      </c>
    </row>
    <row r="219" spans="1:18" x14ac:dyDescent="0.3">
      <c r="A219" t="s">
        <v>13</v>
      </c>
      <c r="B219" t="s">
        <v>29</v>
      </c>
      <c r="C219" t="s">
        <v>37</v>
      </c>
      <c r="D219" t="s">
        <v>42</v>
      </c>
      <c r="E219" t="str">
        <f>IF(F219&lt;5,"Beginner",IF(F219&lt;=10,"Mid-Level","Senior"))</f>
        <v>Senior</v>
      </c>
      <c r="F219" s="2">
        <v>20</v>
      </c>
      <c r="G219" t="s">
        <v>55</v>
      </c>
      <c r="H219" t="s">
        <v>106</v>
      </c>
      <c r="I219" s="2" t="s">
        <v>107</v>
      </c>
      <c r="J219" s="2" t="s">
        <v>108</v>
      </c>
      <c r="K219" s="2">
        <v>3</v>
      </c>
      <c r="L219" s="2">
        <v>2017</v>
      </c>
      <c r="M219" t="s">
        <v>26</v>
      </c>
      <c r="N219" t="s">
        <v>64</v>
      </c>
      <c r="O219" t="s">
        <v>76</v>
      </c>
      <c r="P219">
        <v>11316</v>
      </c>
      <c r="Q219">
        <v>24</v>
      </c>
      <c r="R219" s="4">
        <f>(P219*(1+Q219/100))</f>
        <v>14031.84</v>
      </c>
    </row>
    <row r="220" spans="1:18" x14ac:dyDescent="0.3">
      <c r="A220" t="s">
        <v>13</v>
      </c>
      <c r="B220" t="s">
        <v>31</v>
      </c>
      <c r="C220" t="s">
        <v>35</v>
      </c>
      <c r="D220" t="s">
        <v>41</v>
      </c>
      <c r="E220" t="str">
        <f>IF(F220&lt;5,"Beginner",IF(F220&lt;=10,"Mid-Level","Senior"))</f>
        <v>Mid-Level</v>
      </c>
      <c r="F220" s="2">
        <v>10</v>
      </c>
      <c r="G220" t="s">
        <v>59</v>
      </c>
      <c r="H220" t="s">
        <v>106</v>
      </c>
      <c r="I220" s="2" t="s">
        <v>107</v>
      </c>
      <c r="J220" s="2" t="s">
        <v>108</v>
      </c>
      <c r="K220" s="2">
        <v>3</v>
      </c>
      <c r="L220" s="2">
        <v>2010</v>
      </c>
      <c r="M220" t="s">
        <v>28</v>
      </c>
      <c r="N220" t="s">
        <v>70</v>
      </c>
      <c r="O220" t="s">
        <v>74</v>
      </c>
      <c r="P220">
        <v>11793</v>
      </c>
      <c r="Q220">
        <v>25</v>
      </c>
      <c r="R220" s="4">
        <f>(P220*(1+Q220/100))</f>
        <v>14741.25</v>
      </c>
    </row>
    <row r="221" spans="1:18" x14ac:dyDescent="0.3">
      <c r="A221" t="s">
        <v>13</v>
      </c>
      <c r="B221" t="s">
        <v>23</v>
      </c>
      <c r="C221" t="s">
        <v>40</v>
      </c>
      <c r="D221" t="s">
        <v>50</v>
      </c>
      <c r="E221" t="str">
        <f>IF(F221&lt;5,"Beginner",IF(F221&lt;=10,"Mid-Level","Senior"))</f>
        <v>Senior</v>
      </c>
      <c r="F221" s="2">
        <v>14</v>
      </c>
      <c r="G221" t="s">
        <v>51</v>
      </c>
      <c r="H221" t="s">
        <v>106</v>
      </c>
      <c r="I221" s="2" t="s">
        <v>107</v>
      </c>
      <c r="J221" s="2" t="s">
        <v>108</v>
      </c>
      <c r="K221" s="2">
        <v>3</v>
      </c>
      <c r="L221" s="2">
        <v>2010</v>
      </c>
      <c r="M221" t="s">
        <v>29</v>
      </c>
      <c r="N221" t="s">
        <v>63</v>
      </c>
      <c r="O221" t="s">
        <v>77</v>
      </c>
      <c r="P221">
        <v>13791</v>
      </c>
      <c r="Q221">
        <v>13</v>
      </c>
      <c r="R221" s="4">
        <f>(P221*(1+Q221/100))</f>
        <v>15583.829999999998</v>
      </c>
    </row>
    <row r="222" spans="1:18" x14ac:dyDescent="0.3">
      <c r="A222" t="s">
        <v>13</v>
      </c>
      <c r="B222" t="s">
        <v>27</v>
      </c>
      <c r="C222" t="s">
        <v>5</v>
      </c>
      <c r="D222" t="s">
        <v>44</v>
      </c>
      <c r="E222" t="str">
        <f>IF(F222&lt;5,"Beginner",IF(F222&lt;=10,"Mid-Level","Senior"))</f>
        <v>Mid-Level</v>
      </c>
      <c r="F222" s="2">
        <v>8</v>
      </c>
      <c r="G222" t="s">
        <v>53</v>
      </c>
      <c r="H222" t="s">
        <v>106</v>
      </c>
      <c r="I222" s="2" t="s">
        <v>107</v>
      </c>
      <c r="J222" s="2" t="s">
        <v>108</v>
      </c>
      <c r="K222" s="2">
        <v>3</v>
      </c>
      <c r="L222" s="2">
        <v>2017</v>
      </c>
      <c r="M222" t="s">
        <v>23</v>
      </c>
      <c r="N222" t="s">
        <v>70</v>
      </c>
      <c r="O222" t="s">
        <v>73</v>
      </c>
      <c r="P222">
        <v>13790</v>
      </c>
      <c r="Q222">
        <v>18</v>
      </c>
      <c r="R222" s="4">
        <f>(P222*(1+Q222/100))</f>
        <v>16272.199999999999</v>
      </c>
    </row>
    <row r="223" spans="1:18" x14ac:dyDescent="0.3">
      <c r="A223" t="s">
        <v>13</v>
      </c>
      <c r="B223" t="s">
        <v>27</v>
      </c>
      <c r="C223" t="s">
        <v>39</v>
      </c>
      <c r="D223" t="s">
        <v>45</v>
      </c>
      <c r="E223" t="str">
        <f>IF(F223&lt;5,"Beginner",IF(F223&lt;=10,"Mid-Level","Senior"))</f>
        <v>Senior</v>
      </c>
      <c r="F223" s="2">
        <v>17</v>
      </c>
      <c r="G223" t="s">
        <v>53</v>
      </c>
      <c r="H223" t="s">
        <v>106</v>
      </c>
      <c r="I223" s="2" t="s">
        <v>107</v>
      </c>
      <c r="J223" s="2" t="s">
        <v>108</v>
      </c>
      <c r="K223" s="2">
        <v>3</v>
      </c>
      <c r="L223" s="2">
        <v>2019</v>
      </c>
      <c r="M223" t="s">
        <v>26</v>
      </c>
      <c r="N223" t="s">
        <v>71</v>
      </c>
      <c r="O223" t="s">
        <v>74</v>
      </c>
      <c r="P223">
        <v>11562</v>
      </c>
      <c r="Q223">
        <v>15</v>
      </c>
      <c r="R223" s="4">
        <f>(P223*(1+Q223/100))</f>
        <v>13296.3</v>
      </c>
    </row>
    <row r="224" spans="1:18" x14ac:dyDescent="0.3">
      <c r="A224" t="s">
        <v>17</v>
      </c>
      <c r="B224" t="s">
        <v>31</v>
      </c>
      <c r="C224" t="s">
        <v>37</v>
      </c>
      <c r="D224" t="s">
        <v>41</v>
      </c>
      <c r="E224" t="str">
        <f>IF(F224&lt;5,"Beginner",IF(F224&lt;=10,"Mid-Level","Senior"))</f>
        <v>Mid-Level</v>
      </c>
      <c r="F224" s="2">
        <v>8</v>
      </c>
      <c r="G224" t="s">
        <v>58</v>
      </c>
      <c r="H224" t="s">
        <v>100</v>
      </c>
      <c r="I224" s="2" t="s">
        <v>101</v>
      </c>
      <c r="J224" s="2" t="s">
        <v>102</v>
      </c>
      <c r="K224" s="2">
        <v>3</v>
      </c>
      <c r="L224" s="2">
        <v>2013</v>
      </c>
      <c r="M224" t="s">
        <v>28</v>
      </c>
      <c r="N224" t="s">
        <v>66</v>
      </c>
      <c r="O224" t="s">
        <v>77</v>
      </c>
      <c r="P224">
        <v>10893</v>
      </c>
      <c r="Q224">
        <v>8</v>
      </c>
      <c r="R224" s="4">
        <f>(P224*(1+Q224/100))</f>
        <v>11764.44</v>
      </c>
    </row>
    <row r="225" spans="1:18" x14ac:dyDescent="0.3">
      <c r="A225" t="s">
        <v>17</v>
      </c>
      <c r="B225" t="s">
        <v>24</v>
      </c>
      <c r="C225" t="s">
        <v>33</v>
      </c>
      <c r="D225" t="s">
        <v>50</v>
      </c>
      <c r="E225" t="str">
        <f>IF(F225&lt;5,"Beginner",IF(F225&lt;=10,"Mid-Level","Senior"))</f>
        <v>Senior</v>
      </c>
      <c r="F225" s="2">
        <v>14</v>
      </c>
      <c r="G225" t="s">
        <v>56</v>
      </c>
      <c r="H225" t="s">
        <v>100</v>
      </c>
      <c r="I225" s="2" t="s">
        <v>101</v>
      </c>
      <c r="J225" s="2" t="s">
        <v>102</v>
      </c>
      <c r="K225" s="2">
        <v>3</v>
      </c>
      <c r="L225" s="2">
        <v>2021</v>
      </c>
      <c r="M225" t="s">
        <v>30</v>
      </c>
      <c r="N225" t="s">
        <v>69</v>
      </c>
      <c r="O225" t="s">
        <v>76</v>
      </c>
      <c r="P225">
        <v>8998</v>
      </c>
      <c r="Q225">
        <v>7</v>
      </c>
      <c r="R225" s="4">
        <f>(P225*(1+Q225/100))</f>
        <v>9627.86</v>
      </c>
    </row>
    <row r="226" spans="1:18" x14ac:dyDescent="0.3">
      <c r="A226" t="s">
        <v>17</v>
      </c>
      <c r="B226" t="s">
        <v>30</v>
      </c>
      <c r="C226" t="s">
        <v>38</v>
      </c>
      <c r="D226" t="s">
        <v>50</v>
      </c>
      <c r="E226" t="str">
        <f>IF(F226&lt;5,"Beginner",IF(F226&lt;=10,"Mid-Level","Senior"))</f>
        <v>Senior</v>
      </c>
      <c r="F226" s="2">
        <v>11</v>
      </c>
      <c r="G226" t="s">
        <v>59</v>
      </c>
      <c r="H226" t="s">
        <v>100</v>
      </c>
      <c r="I226" s="2" t="s">
        <v>101</v>
      </c>
      <c r="J226" s="2" t="s">
        <v>102</v>
      </c>
      <c r="K226" s="2">
        <v>3</v>
      </c>
      <c r="L226" s="2">
        <v>2012</v>
      </c>
      <c r="M226" t="s">
        <v>24</v>
      </c>
      <c r="N226" t="s">
        <v>65</v>
      </c>
      <c r="O226" t="s">
        <v>74</v>
      </c>
      <c r="P226">
        <v>7091</v>
      </c>
      <c r="Q226">
        <v>12</v>
      </c>
      <c r="R226" s="4">
        <f>(P226*(1+Q226/100))</f>
        <v>7941.920000000001</v>
      </c>
    </row>
    <row r="227" spans="1:18" x14ac:dyDescent="0.3">
      <c r="A227" t="s">
        <v>17</v>
      </c>
      <c r="B227" t="s">
        <v>24</v>
      </c>
      <c r="C227" t="s">
        <v>39</v>
      </c>
      <c r="D227" t="s">
        <v>45</v>
      </c>
      <c r="E227" t="str">
        <f>IF(F227&lt;5,"Beginner",IF(F227&lt;=10,"Mid-Level","Senior"))</f>
        <v>Mid-Level</v>
      </c>
      <c r="F227" s="2">
        <v>7</v>
      </c>
      <c r="G227" t="s">
        <v>55</v>
      </c>
      <c r="H227" t="s">
        <v>100</v>
      </c>
      <c r="I227" s="2" t="s">
        <v>101</v>
      </c>
      <c r="J227" s="2" t="s">
        <v>102</v>
      </c>
      <c r="K227" s="2">
        <v>3</v>
      </c>
      <c r="L227" s="2">
        <v>2018</v>
      </c>
      <c r="M227" t="s">
        <v>30</v>
      </c>
      <c r="N227" t="s">
        <v>69</v>
      </c>
      <c r="O227" t="s">
        <v>77</v>
      </c>
      <c r="P227">
        <v>8847</v>
      </c>
      <c r="Q227">
        <v>10</v>
      </c>
      <c r="R227" s="4">
        <f>(P227*(1+Q227/100))</f>
        <v>9731.7000000000007</v>
      </c>
    </row>
    <row r="228" spans="1:18" x14ac:dyDescent="0.3">
      <c r="A228" t="s">
        <v>17</v>
      </c>
      <c r="B228" t="s">
        <v>30</v>
      </c>
      <c r="C228" t="s">
        <v>5</v>
      </c>
      <c r="D228" t="s">
        <v>46</v>
      </c>
      <c r="E228" t="str">
        <f>IF(F228&lt;5,"Beginner",IF(F228&lt;=10,"Mid-Level","Senior"))</f>
        <v>Mid-Level</v>
      </c>
      <c r="F228" s="2">
        <v>7</v>
      </c>
      <c r="G228" t="s">
        <v>52</v>
      </c>
      <c r="H228" t="s">
        <v>100</v>
      </c>
      <c r="I228" s="2" t="s">
        <v>101</v>
      </c>
      <c r="J228" s="2" t="s">
        <v>102</v>
      </c>
      <c r="K228" s="2">
        <v>3</v>
      </c>
      <c r="L228" s="2">
        <v>2018</v>
      </c>
      <c r="M228" t="s">
        <v>23</v>
      </c>
      <c r="N228" t="s">
        <v>69</v>
      </c>
      <c r="O228" t="s">
        <v>75</v>
      </c>
      <c r="P228">
        <v>10763</v>
      </c>
      <c r="Q228">
        <v>7</v>
      </c>
      <c r="R228" s="4">
        <f>(P228*(1+Q228/100))</f>
        <v>11516.41</v>
      </c>
    </row>
    <row r="229" spans="1:18" x14ac:dyDescent="0.3">
      <c r="A229" t="s">
        <v>17</v>
      </c>
      <c r="B229" t="s">
        <v>29</v>
      </c>
      <c r="C229" t="s">
        <v>40</v>
      </c>
      <c r="D229" t="s">
        <v>48</v>
      </c>
      <c r="E229" t="str">
        <f>IF(F229&lt;5,"Beginner",IF(F229&lt;=10,"Mid-Level","Senior"))</f>
        <v>Beginner</v>
      </c>
      <c r="F229" s="2">
        <v>3</v>
      </c>
      <c r="G229" t="s">
        <v>58</v>
      </c>
      <c r="H229" t="s">
        <v>100</v>
      </c>
      <c r="I229" s="2" t="s">
        <v>101</v>
      </c>
      <c r="J229" s="2" t="s">
        <v>102</v>
      </c>
      <c r="K229" s="2">
        <v>3</v>
      </c>
      <c r="L229" s="2">
        <v>2012</v>
      </c>
      <c r="M229" t="s">
        <v>22</v>
      </c>
      <c r="N229" t="s">
        <v>66</v>
      </c>
      <c r="O229" t="s">
        <v>73</v>
      </c>
      <c r="P229">
        <v>9640</v>
      </c>
      <c r="Q229">
        <v>14</v>
      </c>
      <c r="R229" s="4">
        <f>(P229*(1+Q229/100))</f>
        <v>10989.6</v>
      </c>
    </row>
    <row r="230" spans="1:18" x14ac:dyDescent="0.3">
      <c r="A230" t="s">
        <v>17</v>
      </c>
      <c r="B230" t="s">
        <v>25</v>
      </c>
      <c r="C230" t="s">
        <v>36</v>
      </c>
      <c r="D230" t="s">
        <v>44</v>
      </c>
      <c r="E230" t="str">
        <f>IF(F230&lt;5,"Beginner",IF(F230&lt;=10,"Mid-Level","Senior"))</f>
        <v>Senior</v>
      </c>
      <c r="F230" s="2">
        <v>19</v>
      </c>
      <c r="G230" t="s">
        <v>53</v>
      </c>
      <c r="H230" t="s">
        <v>100</v>
      </c>
      <c r="I230" s="2" t="s">
        <v>101</v>
      </c>
      <c r="J230" s="2" t="s">
        <v>102</v>
      </c>
      <c r="K230" s="2">
        <v>3</v>
      </c>
      <c r="L230" s="2">
        <v>2014</v>
      </c>
      <c r="M230" t="s">
        <v>28</v>
      </c>
      <c r="N230" t="s">
        <v>66</v>
      </c>
      <c r="O230" t="s">
        <v>76</v>
      </c>
      <c r="P230">
        <v>8771</v>
      </c>
      <c r="Q230">
        <v>12</v>
      </c>
      <c r="R230" s="4">
        <f>(P230*(1+Q230/100))</f>
        <v>9823.52</v>
      </c>
    </row>
    <row r="231" spans="1:18" x14ac:dyDescent="0.3">
      <c r="A231" t="s">
        <v>17</v>
      </c>
      <c r="B231" t="s">
        <v>22</v>
      </c>
      <c r="C231" t="s">
        <v>38</v>
      </c>
      <c r="D231" t="s">
        <v>48</v>
      </c>
      <c r="E231" t="str">
        <f>IF(F231&lt;5,"Beginner",IF(F231&lt;=10,"Mid-Level","Senior"))</f>
        <v>Mid-Level</v>
      </c>
      <c r="F231" s="2">
        <v>7</v>
      </c>
      <c r="G231" t="s">
        <v>58</v>
      </c>
      <c r="H231" t="s">
        <v>100</v>
      </c>
      <c r="I231" s="2" t="s">
        <v>101</v>
      </c>
      <c r="J231" s="2" t="s">
        <v>102</v>
      </c>
      <c r="K231" s="2">
        <v>3</v>
      </c>
      <c r="L231" s="2">
        <v>2021</v>
      </c>
      <c r="M231" t="s">
        <v>27</v>
      </c>
      <c r="N231" t="s">
        <v>66</v>
      </c>
      <c r="O231" t="s">
        <v>74</v>
      </c>
      <c r="P231">
        <v>13319</v>
      </c>
      <c r="Q231">
        <v>8</v>
      </c>
      <c r="R231" s="4">
        <f>(P231*(1+Q231/100))</f>
        <v>14384.52</v>
      </c>
    </row>
    <row r="232" spans="1:18" x14ac:dyDescent="0.3">
      <c r="A232" t="s">
        <v>17</v>
      </c>
      <c r="B232" t="s">
        <v>31</v>
      </c>
      <c r="C232" t="s">
        <v>33</v>
      </c>
      <c r="D232" t="s">
        <v>49</v>
      </c>
      <c r="E232" t="str">
        <f>IF(F232&lt;5,"Beginner",IF(F232&lt;=10,"Mid-Level","Senior"))</f>
        <v>Senior</v>
      </c>
      <c r="F232" s="2">
        <v>12</v>
      </c>
      <c r="G232" t="s">
        <v>58</v>
      </c>
      <c r="H232" t="s">
        <v>100</v>
      </c>
      <c r="I232" s="2" t="s">
        <v>101</v>
      </c>
      <c r="J232" s="2" t="s">
        <v>102</v>
      </c>
      <c r="K232" s="2">
        <v>3</v>
      </c>
      <c r="L232" s="2">
        <v>2010</v>
      </c>
      <c r="M232" t="s">
        <v>27</v>
      </c>
      <c r="N232" t="s">
        <v>63</v>
      </c>
      <c r="O232" t="s">
        <v>75</v>
      </c>
      <c r="P232">
        <v>9923</v>
      </c>
      <c r="Q232">
        <v>9</v>
      </c>
      <c r="R232" s="4">
        <f>(P232*(1+Q232/100))</f>
        <v>10816.070000000002</v>
      </c>
    </row>
    <row r="233" spans="1:18" x14ac:dyDescent="0.3">
      <c r="A233" t="s">
        <v>17</v>
      </c>
      <c r="B233" t="s">
        <v>22</v>
      </c>
      <c r="C233" t="s">
        <v>36</v>
      </c>
      <c r="D233" t="s">
        <v>42</v>
      </c>
      <c r="E233" t="str">
        <f>IF(F233&lt;5,"Beginner",IF(F233&lt;=10,"Mid-Level","Senior"))</f>
        <v>Senior</v>
      </c>
      <c r="F233" s="2">
        <v>14</v>
      </c>
      <c r="G233" t="s">
        <v>52</v>
      </c>
      <c r="H233" t="s">
        <v>100</v>
      </c>
      <c r="I233" s="2" t="s">
        <v>101</v>
      </c>
      <c r="J233" s="2" t="s">
        <v>102</v>
      </c>
      <c r="K233" s="2">
        <v>3</v>
      </c>
      <c r="L233" s="2">
        <v>2010</v>
      </c>
      <c r="M233" t="s">
        <v>27</v>
      </c>
      <c r="N233" t="s">
        <v>63</v>
      </c>
      <c r="O233" t="s">
        <v>75</v>
      </c>
      <c r="P233">
        <v>8752</v>
      </c>
      <c r="Q233">
        <v>8</v>
      </c>
      <c r="R233" s="4">
        <f>(P233*(1+Q233/100))</f>
        <v>9452.16</v>
      </c>
    </row>
    <row r="234" spans="1:18" x14ac:dyDescent="0.3">
      <c r="A234" t="s">
        <v>17</v>
      </c>
      <c r="B234" t="s">
        <v>25</v>
      </c>
      <c r="C234" t="s">
        <v>38</v>
      </c>
      <c r="D234" t="s">
        <v>42</v>
      </c>
      <c r="E234" t="str">
        <f>IF(F234&lt;5,"Beginner",IF(F234&lt;=10,"Mid-Level","Senior"))</f>
        <v>Senior</v>
      </c>
      <c r="F234" s="2">
        <v>18</v>
      </c>
      <c r="G234" t="s">
        <v>55</v>
      </c>
      <c r="H234" t="s">
        <v>100</v>
      </c>
      <c r="I234" s="2" t="s">
        <v>101</v>
      </c>
      <c r="J234" s="2" t="s">
        <v>102</v>
      </c>
      <c r="K234" s="2">
        <v>3</v>
      </c>
      <c r="L234" s="2">
        <v>2021</v>
      </c>
      <c r="M234" t="s">
        <v>22</v>
      </c>
      <c r="N234" t="s">
        <v>63</v>
      </c>
      <c r="O234" t="s">
        <v>77</v>
      </c>
      <c r="P234">
        <v>9784</v>
      </c>
      <c r="Q234">
        <v>13</v>
      </c>
      <c r="R234" s="4">
        <f>(P234*(1+Q234/100))</f>
        <v>11055.919999999998</v>
      </c>
    </row>
    <row r="235" spans="1:18" x14ac:dyDescent="0.3">
      <c r="A235" t="s">
        <v>17</v>
      </c>
      <c r="B235" t="s">
        <v>22</v>
      </c>
      <c r="C235" t="s">
        <v>38</v>
      </c>
      <c r="D235" t="s">
        <v>44</v>
      </c>
      <c r="E235" t="str">
        <f>IF(F235&lt;5,"Beginner",IF(F235&lt;=10,"Mid-Level","Senior"))</f>
        <v>Beginner</v>
      </c>
      <c r="F235" s="2">
        <v>4</v>
      </c>
      <c r="G235" t="s">
        <v>55</v>
      </c>
      <c r="H235" t="s">
        <v>100</v>
      </c>
      <c r="I235" s="2" t="s">
        <v>101</v>
      </c>
      <c r="J235" s="2" t="s">
        <v>102</v>
      </c>
      <c r="K235" s="2">
        <v>3</v>
      </c>
      <c r="L235" s="2">
        <v>2016</v>
      </c>
      <c r="M235" t="s">
        <v>24</v>
      </c>
      <c r="N235" t="s">
        <v>72</v>
      </c>
      <c r="O235" t="s">
        <v>75</v>
      </c>
      <c r="P235">
        <v>9815</v>
      </c>
      <c r="Q235">
        <v>10</v>
      </c>
      <c r="R235" s="4">
        <f>(P235*(1+Q235/100))</f>
        <v>10796.5</v>
      </c>
    </row>
    <row r="236" spans="1:18" x14ac:dyDescent="0.3">
      <c r="A236" t="s">
        <v>17</v>
      </c>
      <c r="B236" t="s">
        <v>25</v>
      </c>
      <c r="C236" t="s">
        <v>5</v>
      </c>
      <c r="D236" t="s">
        <v>45</v>
      </c>
      <c r="E236" t="str">
        <f>IF(F236&lt;5,"Beginner",IF(F236&lt;=10,"Mid-Level","Senior"))</f>
        <v>Beginner</v>
      </c>
      <c r="F236" s="2">
        <v>4</v>
      </c>
      <c r="G236" t="s">
        <v>52</v>
      </c>
      <c r="H236" t="s">
        <v>100</v>
      </c>
      <c r="I236" s="2" t="s">
        <v>101</v>
      </c>
      <c r="J236" s="2" t="s">
        <v>102</v>
      </c>
      <c r="K236" s="2">
        <v>3</v>
      </c>
      <c r="L236" s="2">
        <v>2014</v>
      </c>
      <c r="M236" t="s">
        <v>22</v>
      </c>
      <c r="N236" t="s">
        <v>64</v>
      </c>
      <c r="O236" t="s">
        <v>75</v>
      </c>
      <c r="P236">
        <v>10963</v>
      </c>
      <c r="Q236">
        <v>14</v>
      </c>
      <c r="R236" s="4">
        <f>(P236*(1+Q236/100))</f>
        <v>12497.820000000002</v>
      </c>
    </row>
    <row r="237" spans="1:18" x14ac:dyDescent="0.3">
      <c r="A237" t="s">
        <v>17</v>
      </c>
      <c r="B237" t="s">
        <v>28</v>
      </c>
      <c r="C237" t="s">
        <v>5</v>
      </c>
      <c r="D237" t="s">
        <v>42</v>
      </c>
      <c r="E237" t="str">
        <f>IF(F237&lt;5,"Beginner",IF(F237&lt;=10,"Mid-Level","Senior"))</f>
        <v>Senior</v>
      </c>
      <c r="F237" s="2">
        <v>20</v>
      </c>
      <c r="G237" t="s">
        <v>54</v>
      </c>
      <c r="H237" t="s">
        <v>100</v>
      </c>
      <c r="I237" s="2" t="s">
        <v>101</v>
      </c>
      <c r="J237" s="2" t="s">
        <v>102</v>
      </c>
      <c r="K237" s="2">
        <v>3</v>
      </c>
      <c r="L237" s="2">
        <v>2018</v>
      </c>
      <c r="M237" t="s">
        <v>26</v>
      </c>
      <c r="N237" t="s">
        <v>66</v>
      </c>
      <c r="O237" t="s">
        <v>73</v>
      </c>
      <c r="P237">
        <v>13885</v>
      </c>
      <c r="Q237">
        <v>11</v>
      </c>
      <c r="R237" s="4">
        <f>(P237*(1+Q237/100))</f>
        <v>15412.350000000002</v>
      </c>
    </row>
    <row r="238" spans="1:18" x14ac:dyDescent="0.3">
      <c r="A238" t="s">
        <v>17</v>
      </c>
      <c r="B238" t="s">
        <v>31</v>
      </c>
      <c r="C238" t="s">
        <v>39</v>
      </c>
      <c r="D238" t="s">
        <v>44</v>
      </c>
      <c r="E238" t="str">
        <f>IF(F238&lt;5,"Beginner",IF(F238&lt;=10,"Mid-Level","Senior"))</f>
        <v>Senior</v>
      </c>
      <c r="F238" s="2">
        <v>13</v>
      </c>
      <c r="G238" t="s">
        <v>54</v>
      </c>
      <c r="H238" t="s">
        <v>100</v>
      </c>
      <c r="I238" s="2" t="s">
        <v>101</v>
      </c>
      <c r="J238" s="2" t="s">
        <v>102</v>
      </c>
      <c r="K238" s="2">
        <v>3</v>
      </c>
      <c r="L238" s="2">
        <v>2016</v>
      </c>
      <c r="M238" t="s">
        <v>28</v>
      </c>
      <c r="N238" t="s">
        <v>68</v>
      </c>
      <c r="O238" t="s">
        <v>74</v>
      </c>
      <c r="P238">
        <v>8436</v>
      </c>
      <c r="Q238">
        <v>13</v>
      </c>
      <c r="R238" s="4">
        <f>(P238*(1+Q238/100))</f>
        <v>9532.6799999999985</v>
      </c>
    </row>
    <row r="239" spans="1:18" x14ac:dyDescent="0.3">
      <c r="A239" t="s">
        <v>17</v>
      </c>
      <c r="B239" t="s">
        <v>30</v>
      </c>
      <c r="C239" t="s">
        <v>36</v>
      </c>
      <c r="D239" t="s">
        <v>48</v>
      </c>
      <c r="E239" t="str">
        <f>IF(F239&lt;5,"Beginner",IF(F239&lt;=10,"Mid-Level","Senior"))</f>
        <v>Beginner</v>
      </c>
      <c r="F239" s="2">
        <v>4</v>
      </c>
      <c r="G239" t="s">
        <v>54</v>
      </c>
      <c r="H239" t="s">
        <v>100</v>
      </c>
      <c r="I239" s="2" t="s">
        <v>101</v>
      </c>
      <c r="J239" s="2" t="s">
        <v>102</v>
      </c>
      <c r="K239" s="2">
        <v>3</v>
      </c>
      <c r="L239" s="2">
        <v>2013</v>
      </c>
      <c r="M239" t="s">
        <v>26</v>
      </c>
      <c r="N239" t="s">
        <v>63</v>
      </c>
      <c r="O239" t="s">
        <v>73</v>
      </c>
      <c r="P239">
        <v>11984</v>
      </c>
      <c r="Q239">
        <v>9</v>
      </c>
      <c r="R239" s="4">
        <f>(P239*(1+Q239/100))</f>
        <v>13062.560000000001</v>
      </c>
    </row>
    <row r="240" spans="1:18" x14ac:dyDescent="0.3">
      <c r="A240" t="s">
        <v>17</v>
      </c>
      <c r="B240" t="s">
        <v>27</v>
      </c>
      <c r="C240" t="s">
        <v>35</v>
      </c>
      <c r="D240" t="s">
        <v>44</v>
      </c>
      <c r="E240" t="str">
        <f>IF(F240&lt;5,"Beginner",IF(F240&lt;=10,"Mid-Level","Senior"))</f>
        <v>Senior</v>
      </c>
      <c r="F240" s="2">
        <v>11</v>
      </c>
      <c r="G240" t="s">
        <v>55</v>
      </c>
      <c r="H240" t="s">
        <v>100</v>
      </c>
      <c r="I240" s="2" t="s">
        <v>101</v>
      </c>
      <c r="J240" s="2" t="s">
        <v>102</v>
      </c>
      <c r="K240" s="2">
        <v>3</v>
      </c>
      <c r="L240" s="2">
        <v>2025</v>
      </c>
      <c r="M240" t="s">
        <v>30</v>
      </c>
      <c r="N240" t="s">
        <v>72</v>
      </c>
      <c r="O240" t="s">
        <v>76</v>
      </c>
      <c r="P240">
        <v>10613</v>
      </c>
      <c r="Q240">
        <v>8</v>
      </c>
      <c r="R240" s="4">
        <f>(P240*(1+Q240/100))</f>
        <v>11462.04</v>
      </c>
    </row>
    <row r="241" spans="1:18" x14ac:dyDescent="0.3">
      <c r="A241" t="s">
        <v>17</v>
      </c>
      <c r="B241" t="s">
        <v>24</v>
      </c>
      <c r="C241" t="s">
        <v>38</v>
      </c>
      <c r="D241" t="s">
        <v>44</v>
      </c>
      <c r="E241" t="str">
        <f>IF(F241&lt;5,"Beginner",IF(F241&lt;=10,"Mid-Level","Senior"))</f>
        <v>Senior</v>
      </c>
      <c r="F241" s="2">
        <v>17</v>
      </c>
      <c r="G241" t="s">
        <v>52</v>
      </c>
      <c r="H241" t="s">
        <v>100</v>
      </c>
      <c r="I241" s="2" t="s">
        <v>101</v>
      </c>
      <c r="J241" s="2" t="s">
        <v>102</v>
      </c>
      <c r="K241" s="2">
        <v>3</v>
      </c>
      <c r="L241" s="2">
        <v>2018</v>
      </c>
      <c r="M241" t="s">
        <v>29</v>
      </c>
      <c r="N241" t="s">
        <v>71</v>
      </c>
      <c r="O241" t="s">
        <v>76</v>
      </c>
      <c r="P241">
        <v>7740</v>
      </c>
      <c r="Q241">
        <v>15</v>
      </c>
      <c r="R241" s="4">
        <f>(P241*(1+Q241/100))</f>
        <v>8901</v>
      </c>
    </row>
    <row r="242" spans="1:18" x14ac:dyDescent="0.3">
      <c r="A242" t="s">
        <v>17</v>
      </c>
      <c r="B242" t="s">
        <v>23</v>
      </c>
      <c r="C242" t="s">
        <v>37</v>
      </c>
      <c r="D242" t="s">
        <v>49</v>
      </c>
      <c r="E242" t="str">
        <f>IF(F242&lt;5,"Beginner",IF(F242&lt;=10,"Mid-Level","Senior"))</f>
        <v>Senior</v>
      </c>
      <c r="F242" s="2">
        <v>18</v>
      </c>
      <c r="G242" t="s">
        <v>58</v>
      </c>
      <c r="H242" t="s">
        <v>100</v>
      </c>
      <c r="I242" s="2" t="s">
        <v>101</v>
      </c>
      <c r="J242" s="2" t="s">
        <v>102</v>
      </c>
      <c r="K242" s="2">
        <v>3</v>
      </c>
      <c r="L242" s="2">
        <v>2025</v>
      </c>
      <c r="M242" t="s">
        <v>30</v>
      </c>
      <c r="N242" t="s">
        <v>67</v>
      </c>
      <c r="O242" t="s">
        <v>74</v>
      </c>
      <c r="P242">
        <v>9676</v>
      </c>
      <c r="Q242">
        <v>14</v>
      </c>
      <c r="R242" s="4">
        <f>(P242*(1+Q242/100))</f>
        <v>11030.640000000001</v>
      </c>
    </row>
    <row r="243" spans="1:18" x14ac:dyDescent="0.3">
      <c r="A243" t="s">
        <v>17</v>
      </c>
      <c r="B243" t="s">
        <v>29</v>
      </c>
      <c r="C243" t="s">
        <v>34</v>
      </c>
      <c r="D243" t="s">
        <v>50</v>
      </c>
      <c r="E243" t="str">
        <f>IF(F243&lt;5,"Beginner",IF(F243&lt;=10,"Mid-Level","Senior"))</f>
        <v>Senior</v>
      </c>
      <c r="F243" s="2">
        <v>20</v>
      </c>
      <c r="G243" t="s">
        <v>59</v>
      </c>
      <c r="H243" t="s">
        <v>100</v>
      </c>
      <c r="I243" s="2" t="s">
        <v>101</v>
      </c>
      <c r="J243" s="2" t="s">
        <v>102</v>
      </c>
      <c r="K243" s="2">
        <v>3</v>
      </c>
      <c r="L243" s="2">
        <v>2025</v>
      </c>
      <c r="M243" t="s">
        <v>30</v>
      </c>
      <c r="N243" t="s">
        <v>67</v>
      </c>
      <c r="O243" t="s">
        <v>73</v>
      </c>
      <c r="P243">
        <v>8184</v>
      </c>
      <c r="Q243">
        <v>10</v>
      </c>
      <c r="R243" s="4">
        <f>(P243*(1+Q243/100))</f>
        <v>9002.4000000000015</v>
      </c>
    </row>
    <row r="244" spans="1:18" x14ac:dyDescent="0.3">
      <c r="A244" t="s">
        <v>17</v>
      </c>
      <c r="B244" t="s">
        <v>28</v>
      </c>
      <c r="C244" t="s">
        <v>38</v>
      </c>
      <c r="D244" t="s">
        <v>42</v>
      </c>
      <c r="E244" t="str">
        <f>IF(F244&lt;5,"Beginner",IF(F244&lt;=10,"Mid-Level","Senior"))</f>
        <v>Mid-Level</v>
      </c>
      <c r="F244" s="2">
        <v>8</v>
      </c>
      <c r="G244" t="s">
        <v>51</v>
      </c>
      <c r="H244" t="s">
        <v>100</v>
      </c>
      <c r="I244" s="2" t="s">
        <v>101</v>
      </c>
      <c r="J244" s="2" t="s">
        <v>102</v>
      </c>
      <c r="K244" s="2">
        <v>3</v>
      </c>
      <c r="L244" s="2">
        <v>2016</v>
      </c>
      <c r="M244" t="s">
        <v>22</v>
      </c>
      <c r="N244" t="s">
        <v>72</v>
      </c>
      <c r="O244" t="s">
        <v>75</v>
      </c>
      <c r="P244">
        <v>12147</v>
      </c>
      <c r="Q244">
        <v>11</v>
      </c>
      <c r="R244" s="4">
        <f>(P244*(1+Q244/100))</f>
        <v>13483.170000000002</v>
      </c>
    </row>
    <row r="245" spans="1:18" x14ac:dyDescent="0.3">
      <c r="A245" t="s">
        <v>17</v>
      </c>
      <c r="B245" t="s">
        <v>29</v>
      </c>
      <c r="C245" t="s">
        <v>32</v>
      </c>
      <c r="D245" t="s">
        <v>49</v>
      </c>
      <c r="E245" t="str">
        <f>IF(F245&lt;5,"Beginner",IF(F245&lt;=10,"Mid-Level","Senior"))</f>
        <v>Mid-Level</v>
      </c>
      <c r="F245" s="2">
        <v>7</v>
      </c>
      <c r="G245" t="s">
        <v>57</v>
      </c>
      <c r="H245" t="s">
        <v>100</v>
      </c>
      <c r="I245" s="2" t="s">
        <v>101</v>
      </c>
      <c r="J245" s="2" t="s">
        <v>102</v>
      </c>
      <c r="K245" s="2">
        <v>3</v>
      </c>
      <c r="L245" s="2">
        <v>2015</v>
      </c>
      <c r="M245" t="s">
        <v>31</v>
      </c>
      <c r="N245" t="s">
        <v>68</v>
      </c>
      <c r="O245" t="s">
        <v>75</v>
      </c>
      <c r="P245">
        <v>7375</v>
      </c>
      <c r="Q245">
        <v>8</v>
      </c>
      <c r="R245" s="4">
        <f>(P245*(1+Q245/100))</f>
        <v>7965.0000000000009</v>
      </c>
    </row>
    <row r="246" spans="1:18" x14ac:dyDescent="0.3">
      <c r="A246" t="s">
        <v>17</v>
      </c>
      <c r="B246" t="s">
        <v>27</v>
      </c>
      <c r="C246" t="s">
        <v>32</v>
      </c>
      <c r="D246" t="s">
        <v>47</v>
      </c>
      <c r="E246" t="str">
        <f>IF(F246&lt;5,"Beginner",IF(F246&lt;=10,"Mid-Level","Senior"))</f>
        <v>Mid-Level</v>
      </c>
      <c r="F246" s="2">
        <v>9</v>
      </c>
      <c r="G246" t="s">
        <v>55</v>
      </c>
      <c r="H246" t="s">
        <v>91</v>
      </c>
      <c r="I246" s="2" t="s">
        <v>92</v>
      </c>
      <c r="J246" s="2" t="s">
        <v>134</v>
      </c>
      <c r="K246" s="2">
        <v>3</v>
      </c>
      <c r="L246" s="2">
        <v>2018</v>
      </c>
      <c r="M246" t="s">
        <v>25</v>
      </c>
      <c r="N246" t="s">
        <v>69</v>
      </c>
      <c r="O246" t="s">
        <v>77</v>
      </c>
      <c r="P246">
        <v>13723</v>
      </c>
      <c r="Q246">
        <v>12</v>
      </c>
      <c r="R246" s="4">
        <f>(P246*(1+Q246/100))</f>
        <v>15369.760000000002</v>
      </c>
    </row>
    <row r="247" spans="1:18" x14ac:dyDescent="0.3">
      <c r="A247" t="s">
        <v>17</v>
      </c>
      <c r="B247" t="s">
        <v>25</v>
      </c>
      <c r="C247" t="s">
        <v>36</v>
      </c>
      <c r="D247" t="s">
        <v>49</v>
      </c>
      <c r="E247" t="str">
        <f>IF(F247&lt;5,"Beginner",IF(F247&lt;=10,"Mid-Level","Senior"))</f>
        <v>Beginner</v>
      </c>
      <c r="F247" s="2">
        <v>4</v>
      </c>
      <c r="G247" t="s">
        <v>54</v>
      </c>
      <c r="H247" t="s">
        <v>91</v>
      </c>
      <c r="I247" s="2" t="s">
        <v>92</v>
      </c>
      <c r="J247" s="2" t="s">
        <v>134</v>
      </c>
      <c r="K247" s="2">
        <v>3</v>
      </c>
      <c r="L247" s="2">
        <v>2015</v>
      </c>
      <c r="M247" t="s">
        <v>28</v>
      </c>
      <c r="N247" t="s">
        <v>70</v>
      </c>
      <c r="O247" t="s">
        <v>77</v>
      </c>
      <c r="P247">
        <v>10968</v>
      </c>
      <c r="Q247">
        <v>9</v>
      </c>
      <c r="R247" s="4">
        <f>(P247*(1+Q247/100))</f>
        <v>11955.12</v>
      </c>
    </row>
    <row r="248" spans="1:18" x14ac:dyDescent="0.3">
      <c r="A248" t="s">
        <v>17</v>
      </c>
      <c r="B248" t="s">
        <v>26</v>
      </c>
      <c r="C248" t="s">
        <v>34</v>
      </c>
      <c r="D248" t="s">
        <v>46</v>
      </c>
      <c r="E248" t="str">
        <f>IF(F248&lt;5,"Beginner",IF(F248&lt;=10,"Mid-Level","Senior"))</f>
        <v>Senior</v>
      </c>
      <c r="F248" s="2">
        <v>17</v>
      </c>
      <c r="G248" t="s">
        <v>55</v>
      </c>
      <c r="H248" t="s">
        <v>91</v>
      </c>
      <c r="I248" s="2" t="s">
        <v>92</v>
      </c>
      <c r="J248" s="2" t="s">
        <v>134</v>
      </c>
      <c r="K248" s="2">
        <v>3</v>
      </c>
      <c r="L248" s="2">
        <v>2025</v>
      </c>
      <c r="M248" t="s">
        <v>22</v>
      </c>
      <c r="N248" t="s">
        <v>71</v>
      </c>
      <c r="O248" t="s">
        <v>77</v>
      </c>
      <c r="P248">
        <v>13057</v>
      </c>
      <c r="Q248">
        <v>9</v>
      </c>
      <c r="R248" s="4">
        <f>(P248*(1+Q248/100))</f>
        <v>14232.130000000001</v>
      </c>
    </row>
    <row r="249" spans="1:18" x14ac:dyDescent="0.3">
      <c r="A249" t="s">
        <v>17</v>
      </c>
      <c r="B249" t="s">
        <v>27</v>
      </c>
      <c r="C249" t="s">
        <v>34</v>
      </c>
      <c r="D249" t="s">
        <v>44</v>
      </c>
      <c r="E249" t="str">
        <f>IF(F249&lt;5,"Beginner",IF(F249&lt;=10,"Mid-Level","Senior"))</f>
        <v>Beginner</v>
      </c>
      <c r="F249" s="2">
        <v>3</v>
      </c>
      <c r="G249" t="s">
        <v>54</v>
      </c>
      <c r="H249" t="s">
        <v>91</v>
      </c>
      <c r="I249" s="2" t="s">
        <v>92</v>
      </c>
      <c r="J249" s="2" t="s">
        <v>134</v>
      </c>
      <c r="K249" s="2">
        <v>3</v>
      </c>
      <c r="L249" s="2">
        <v>2010</v>
      </c>
      <c r="M249" t="s">
        <v>30</v>
      </c>
      <c r="N249" t="s">
        <v>71</v>
      </c>
      <c r="O249" t="s">
        <v>77</v>
      </c>
      <c r="P249">
        <v>7977</v>
      </c>
      <c r="Q249">
        <v>9</v>
      </c>
      <c r="R249" s="4">
        <f>(P249*(1+Q249/100))</f>
        <v>8694.93</v>
      </c>
    </row>
    <row r="250" spans="1:18" x14ac:dyDescent="0.3">
      <c r="A250" t="s">
        <v>17</v>
      </c>
      <c r="B250" t="s">
        <v>29</v>
      </c>
      <c r="C250" t="s">
        <v>36</v>
      </c>
      <c r="D250" t="s">
        <v>50</v>
      </c>
      <c r="E250" t="str">
        <f>IF(F250&lt;5,"Beginner",IF(F250&lt;=10,"Mid-Level","Senior"))</f>
        <v>Beginner</v>
      </c>
      <c r="F250" s="2">
        <v>4</v>
      </c>
      <c r="G250" t="s">
        <v>56</v>
      </c>
      <c r="H250" t="s">
        <v>91</v>
      </c>
      <c r="I250" s="2" t="s">
        <v>92</v>
      </c>
      <c r="J250" s="2" t="s">
        <v>134</v>
      </c>
      <c r="K250" s="2">
        <v>3</v>
      </c>
      <c r="L250" s="2">
        <v>2024</v>
      </c>
      <c r="M250" t="s">
        <v>28</v>
      </c>
      <c r="N250" t="s">
        <v>65</v>
      </c>
      <c r="O250" t="s">
        <v>76</v>
      </c>
      <c r="P250">
        <v>8184</v>
      </c>
      <c r="Q250">
        <v>7</v>
      </c>
      <c r="R250" s="4">
        <f>(P250*(1+Q250/100))</f>
        <v>8756.880000000001</v>
      </c>
    </row>
    <row r="251" spans="1:18" x14ac:dyDescent="0.3">
      <c r="A251" t="s">
        <v>17</v>
      </c>
      <c r="B251" t="s">
        <v>30</v>
      </c>
      <c r="C251" t="s">
        <v>5</v>
      </c>
      <c r="D251" t="s">
        <v>44</v>
      </c>
      <c r="E251" t="str">
        <f>IF(F251&lt;5,"Beginner",IF(F251&lt;=10,"Mid-Level","Senior"))</f>
        <v>Senior</v>
      </c>
      <c r="F251" s="2">
        <v>18</v>
      </c>
      <c r="G251" t="s">
        <v>57</v>
      </c>
      <c r="H251" t="s">
        <v>91</v>
      </c>
      <c r="I251" s="2" t="s">
        <v>92</v>
      </c>
      <c r="J251" s="2" t="s">
        <v>134</v>
      </c>
      <c r="K251" s="2">
        <v>3</v>
      </c>
      <c r="L251" s="2">
        <v>2011</v>
      </c>
      <c r="M251" t="s">
        <v>24</v>
      </c>
      <c r="N251" t="s">
        <v>64</v>
      </c>
      <c r="O251" t="s">
        <v>73</v>
      </c>
      <c r="P251">
        <v>12254</v>
      </c>
      <c r="Q251">
        <v>12</v>
      </c>
      <c r="R251" s="4">
        <f>(P251*(1+Q251/100))</f>
        <v>13724.480000000001</v>
      </c>
    </row>
    <row r="252" spans="1:18" x14ac:dyDescent="0.3">
      <c r="A252" t="s">
        <v>17</v>
      </c>
      <c r="B252" t="s">
        <v>22</v>
      </c>
      <c r="C252" t="s">
        <v>35</v>
      </c>
      <c r="D252" t="s">
        <v>41</v>
      </c>
      <c r="E252" t="str">
        <f>IF(F252&lt;5,"Beginner",IF(F252&lt;=10,"Mid-Level","Senior"))</f>
        <v>Senior</v>
      </c>
      <c r="F252" s="2">
        <v>12</v>
      </c>
      <c r="G252" t="s">
        <v>55</v>
      </c>
      <c r="H252" t="s">
        <v>91</v>
      </c>
      <c r="I252" s="2" t="s">
        <v>92</v>
      </c>
      <c r="J252" s="2" t="s">
        <v>134</v>
      </c>
      <c r="K252" s="2">
        <v>3</v>
      </c>
      <c r="L252" s="2">
        <v>2024</v>
      </c>
      <c r="M252" t="s">
        <v>27</v>
      </c>
      <c r="N252" t="s">
        <v>65</v>
      </c>
      <c r="O252" t="s">
        <v>75</v>
      </c>
      <c r="P252">
        <v>7621</v>
      </c>
      <c r="Q252">
        <v>10</v>
      </c>
      <c r="R252" s="4">
        <f>(P252*(1+Q252/100))</f>
        <v>8383.1</v>
      </c>
    </row>
    <row r="253" spans="1:18" x14ac:dyDescent="0.3">
      <c r="A253" t="s">
        <v>17</v>
      </c>
      <c r="B253" t="s">
        <v>28</v>
      </c>
      <c r="C253" t="s">
        <v>35</v>
      </c>
      <c r="D253" t="s">
        <v>47</v>
      </c>
      <c r="E253" t="str">
        <f>IF(F253&lt;5,"Beginner",IF(F253&lt;=10,"Mid-Level","Senior"))</f>
        <v>Mid-Level</v>
      </c>
      <c r="F253" s="2">
        <v>10</v>
      </c>
      <c r="G253" t="s">
        <v>58</v>
      </c>
      <c r="H253" t="s">
        <v>91</v>
      </c>
      <c r="I253" s="2" t="s">
        <v>92</v>
      </c>
      <c r="J253" s="2" t="s">
        <v>134</v>
      </c>
      <c r="K253" s="2">
        <v>3</v>
      </c>
      <c r="L253" s="2">
        <v>2022</v>
      </c>
      <c r="M253" t="s">
        <v>25</v>
      </c>
      <c r="N253" t="s">
        <v>65</v>
      </c>
      <c r="O253" t="s">
        <v>77</v>
      </c>
      <c r="P253">
        <v>12989</v>
      </c>
      <c r="Q253">
        <v>13</v>
      </c>
      <c r="R253" s="4">
        <f>(P253*(1+Q253/100))</f>
        <v>14677.569999999998</v>
      </c>
    </row>
    <row r="254" spans="1:18" x14ac:dyDescent="0.3">
      <c r="A254" t="s">
        <v>17</v>
      </c>
      <c r="B254" t="s">
        <v>23</v>
      </c>
      <c r="C254" t="s">
        <v>40</v>
      </c>
      <c r="D254" t="s">
        <v>47</v>
      </c>
      <c r="E254" t="str">
        <f>IF(F254&lt;5,"Beginner",IF(F254&lt;=10,"Mid-Level","Senior"))</f>
        <v>Senior</v>
      </c>
      <c r="F254" s="2">
        <v>18</v>
      </c>
      <c r="G254" t="s">
        <v>56</v>
      </c>
      <c r="H254" t="s">
        <v>91</v>
      </c>
      <c r="I254" s="2" t="s">
        <v>92</v>
      </c>
      <c r="J254" s="2" t="s">
        <v>134</v>
      </c>
      <c r="K254" s="2">
        <v>3</v>
      </c>
      <c r="L254" s="2">
        <v>2010</v>
      </c>
      <c r="M254" t="s">
        <v>23</v>
      </c>
      <c r="N254" t="s">
        <v>71</v>
      </c>
      <c r="O254" t="s">
        <v>76</v>
      </c>
      <c r="P254">
        <v>12133</v>
      </c>
      <c r="Q254">
        <v>8</v>
      </c>
      <c r="R254" s="4">
        <f>(P254*(1+Q254/100))</f>
        <v>13103.640000000001</v>
      </c>
    </row>
    <row r="255" spans="1:18" x14ac:dyDescent="0.3">
      <c r="A255" t="s">
        <v>17</v>
      </c>
      <c r="B255" t="s">
        <v>28</v>
      </c>
      <c r="C255" t="s">
        <v>32</v>
      </c>
      <c r="D255" t="s">
        <v>43</v>
      </c>
      <c r="E255" t="str">
        <f>IF(F255&lt;5,"Beginner",IF(F255&lt;=10,"Mid-Level","Senior"))</f>
        <v>Senior</v>
      </c>
      <c r="F255" s="2">
        <v>16</v>
      </c>
      <c r="G255" t="s">
        <v>53</v>
      </c>
      <c r="H255" t="s">
        <v>91</v>
      </c>
      <c r="I255" s="2" t="s">
        <v>92</v>
      </c>
      <c r="J255" s="2" t="s">
        <v>134</v>
      </c>
      <c r="K255" s="2">
        <v>3</v>
      </c>
      <c r="L255" s="2">
        <v>2011</v>
      </c>
      <c r="M255" t="s">
        <v>27</v>
      </c>
      <c r="N255" t="s">
        <v>64</v>
      </c>
      <c r="O255" t="s">
        <v>74</v>
      </c>
      <c r="P255">
        <v>13373</v>
      </c>
      <c r="Q255">
        <v>12</v>
      </c>
      <c r="R255" s="4">
        <f>(P255*(1+Q255/100))</f>
        <v>14977.760000000002</v>
      </c>
    </row>
    <row r="256" spans="1:18" x14ac:dyDescent="0.3">
      <c r="A256" t="s">
        <v>17</v>
      </c>
      <c r="B256" t="s">
        <v>28</v>
      </c>
      <c r="C256" t="s">
        <v>5</v>
      </c>
      <c r="D256" t="s">
        <v>43</v>
      </c>
      <c r="E256" t="str">
        <f>IF(F256&lt;5,"Beginner",IF(F256&lt;=10,"Mid-Level","Senior"))</f>
        <v>Senior</v>
      </c>
      <c r="F256" s="2">
        <v>11</v>
      </c>
      <c r="G256" t="s">
        <v>59</v>
      </c>
      <c r="H256" t="s">
        <v>91</v>
      </c>
      <c r="I256" s="2" t="s">
        <v>92</v>
      </c>
      <c r="J256" s="2" t="s">
        <v>134</v>
      </c>
      <c r="K256" s="2">
        <v>3</v>
      </c>
      <c r="L256" s="2">
        <v>2018</v>
      </c>
      <c r="M256" t="s">
        <v>27</v>
      </c>
      <c r="N256" t="s">
        <v>70</v>
      </c>
      <c r="O256" t="s">
        <v>74</v>
      </c>
      <c r="P256">
        <v>13145</v>
      </c>
      <c r="Q256">
        <v>14</v>
      </c>
      <c r="R256" s="4">
        <f>(P256*(1+Q256/100))</f>
        <v>14985.300000000001</v>
      </c>
    </row>
    <row r="257" spans="1:18" x14ac:dyDescent="0.3">
      <c r="A257" t="s">
        <v>17</v>
      </c>
      <c r="B257" t="s">
        <v>25</v>
      </c>
      <c r="C257" t="s">
        <v>37</v>
      </c>
      <c r="D257" t="s">
        <v>47</v>
      </c>
      <c r="E257" t="str">
        <f>IF(F257&lt;5,"Beginner",IF(F257&lt;=10,"Mid-Level","Senior"))</f>
        <v>Senior</v>
      </c>
      <c r="F257" s="2">
        <v>16</v>
      </c>
      <c r="G257" t="s">
        <v>59</v>
      </c>
      <c r="H257" t="s">
        <v>91</v>
      </c>
      <c r="I257" s="2" t="s">
        <v>92</v>
      </c>
      <c r="J257" s="2" t="s">
        <v>134</v>
      </c>
      <c r="K257" s="2">
        <v>3</v>
      </c>
      <c r="L257" s="2">
        <v>2019</v>
      </c>
      <c r="M257" t="s">
        <v>30</v>
      </c>
      <c r="N257" t="s">
        <v>65</v>
      </c>
      <c r="O257" t="s">
        <v>76</v>
      </c>
      <c r="P257">
        <v>9679</v>
      </c>
      <c r="Q257">
        <v>13</v>
      </c>
      <c r="R257" s="4">
        <f>(P257*(1+Q257/100))</f>
        <v>10937.269999999999</v>
      </c>
    </row>
    <row r="258" spans="1:18" x14ac:dyDescent="0.3">
      <c r="A258" t="s">
        <v>17</v>
      </c>
      <c r="B258" t="s">
        <v>26</v>
      </c>
      <c r="C258" t="s">
        <v>33</v>
      </c>
      <c r="D258" t="s">
        <v>45</v>
      </c>
      <c r="E258" t="str">
        <f>IF(F258&lt;5,"Beginner",IF(F258&lt;=10,"Mid-Level","Senior"))</f>
        <v>Mid-Level</v>
      </c>
      <c r="F258" s="2">
        <v>9</v>
      </c>
      <c r="G258" t="s">
        <v>57</v>
      </c>
      <c r="H258" t="s">
        <v>91</v>
      </c>
      <c r="I258" s="2" t="s">
        <v>92</v>
      </c>
      <c r="J258" s="2" t="s">
        <v>134</v>
      </c>
      <c r="K258" s="2">
        <v>3</v>
      </c>
      <c r="L258" s="2">
        <v>2020</v>
      </c>
      <c r="M258" t="s">
        <v>22</v>
      </c>
      <c r="N258" t="s">
        <v>71</v>
      </c>
      <c r="O258" t="s">
        <v>74</v>
      </c>
      <c r="P258">
        <v>12661</v>
      </c>
      <c r="Q258">
        <v>13</v>
      </c>
      <c r="R258" s="4">
        <f>(P258*(1+Q258/100))</f>
        <v>14306.929999999998</v>
      </c>
    </row>
    <row r="259" spans="1:18" x14ac:dyDescent="0.3">
      <c r="A259" t="s">
        <v>17</v>
      </c>
      <c r="B259" t="s">
        <v>24</v>
      </c>
      <c r="C259" t="s">
        <v>34</v>
      </c>
      <c r="D259" t="s">
        <v>46</v>
      </c>
      <c r="E259" t="str">
        <f>IF(F259&lt;5,"Beginner",IF(F259&lt;=10,"Mid-Level","Senior"))</f>
        <v>Beginner</v>
      </c>
      <c r="F259" s="2">
        <v>2</v>
      </c>
      <c r="G259" t="s">
        <v>59</v>
      </c>
      <c r="H259" t="s">
        <v>91</v>
      </c>
      <c r="I259" s="2" t="s">
        <v>92</v>
      </c>
      <c r="J259" s="2" t="s">
        <v>134</v>
      </c>
      <c r="K259" s="2">
        <v>3</v>
      </c>
      <c r="L259" s="2">
        <v>2024</v>
      </c>
      <c r="M259" t="s">
        <v>24</v>
      </c>
      <c r="N259" t="s">
        <v>64</v>
      </c>
      <c r="O259" t="s">
        <v>75</v>
      </c>
      <c r="P259">
        <v>13101</v>
      </c>
      <c r="Q259">
        <v>10</v>
      </c>
      <c r="R259" s="4">
        <f>(P259*(1+Q259/100))</f>
        <v>14411.1</v>
      </c>
    </row>
    <row r="260" spans="1:18" x14ac:dyDescent="0.3">
      <c r="A260" t="s">
        <v>17</v>
      </c>
      <c r="B260" t="s">
        <v>24</v>
      </c>
      <c r="C260" t="s">
        <v>35</v>
      </c>
      <c r="D260" t="s">
        <v>50</v>
      </c>
      <c r="E260" t="str">
        <f>IF(F260&lt;5,"Beginner",IF(F260&lt;=10,"Mid-Level","Senior"))</f>
        <v>Mid-Level</v>
      </c>
      <c r="F260" s="2">
        <v>5</v>
      </c>
      <c r="G260" t="s">
        <v>59</v>
      </c>
      <c r="H260" t="s">
        <v>91</v>
      </c>
      <c r="I260" s="2" t="s">
        <v>92</v>
      </c>
      <c r="J260" s="2" t="s">
        <v>134</v>
      </c>
      <c r="K260" s="2">
        <v>3</v>
      </c>
      <c r="L260" s="2">
        <v>2013</v>
      </c>
      <c r="M260" t="s">
        <v>26</v>
      </c>
      <c r="N260" t="s">
        <v>66</v>
      </c>
      <c r="O260" t="s">
        <v>75</v>
      </c>
      <c r="P260">
        <v>13714</v>
      </c>
      <c r="Q260">
        <v>14</v>
      </c>
      <c r="R260" s="4">
        <f>(P260*(1+Q260/100))</f>
        <v>15633.960000000001</v>
      </c>
    </row>
    <row r="261" spans="1:18" x14ac:dyDescent="0.3">
      <c r="A261" t="s">
        <v>17</v>
      </c>
      <c r="B261" t="s">
        <v>23</v>
      </c>
      <c r="C261" t="s">
        <v>5</v>
      </c>
      <c r="D261" t="s">
        <v>47</v>
      </c>
      <c r="E261" t="str">
        <f>IF(F261&lt;5,"Beginner",IF(F261&lt;=10,"Mid-Level","Senior"))</f>
        <v>Mid-Level</v>
      </c>
      <c r="F261" s="2">
        <v>7</v>
      </c>
      <c r="G261" t="s">
        <v>57</v>
      </c>
      <c r="H261" t="s">
        <v>91</v>
      </c>
      <c r="I261" s="2" t="s">
        <v>92</v>
      </c>
      <c r="J261" s="2" t="s">
        <v>134</v>
      </c>
      <c r="K261" s="2">
        <v>3</v>
      </c>
      <c r="L261" s="2">
        <v>2014</v>
      </c>
      <c r="M261" t="s">
        <v>31</v>
      </c>
      <c r="N261" t="s">
        <v>70</v>
      </c>
      <c r="O261" t="s">
        <v>73</v>
      </c>
      <c r="P261">
        <v>13682</v>
      </c>
      <c r="Q261">
        <v>8</v>
      </c>
      <c r="R261" s="4">
        <f>(P261*(1+Q261/100))</f>
        <v>14776.560000000001</v>
      </c>
    </row>
    <row r="262" spans="1:18" x14ac:dyDescent="0.3">
      <c r="A262" t="s">
        <v>17</v>
      </c>
      <c r="B262" t="s">
        <v>29</v>
      </c>
      <c r="C262" t="s">
        <v>32</v>
      </c>
      <c r="D262" t="s">
        <v>42</v>
      </c>
      <c r="E262" t="str">
        <f>IF(F262&lt;5,"Beginner",IF(F262&lt;=10,"Mid-Level","Senior"))</f>
        <v>Beginner</v>
      </c>
      <c r="F262" s="2">
        <v>1</v>
      </c>
      <c r="G262" t="s">
        <v>59</v>
      </c>
      <c r="H262" t="s">
        <v>91</v>
      </c>
      <c r="I262" s="2" t="s">
        <v>92</v>
      </c>
      <c r="J262" s="2" t="s">
        <v>134</v>
      </c>
      <c r="K262" s="2">
        <v>3</v>
      </c>
      <c r="L262" s="2">
        <v>2017</v>
      </c>
      <c r="M262" t="s">
        <v>27</v>
      </c>
      <c r="N262" t="s">
        <v>69</v>
      </c>
      <c r="O262" t="s">
        <v>77</v>
      </c>
      <c r="P262">
        <v>13124</v>
      </c>
      <c r="Q262">
        <v>12</v>
      </c>
      <c r="R262" s="4">
        <f>(P262*(1+Q262/100))</f>
        <v>14698.880000000001</v>
      </c>
    </row>
    <row r="263" spans="1:18" x14ac:dyDescent="0.3">
      <c r="A263" t="s">
        <v>17</v>
      </c>
      <c r="B263" t="s">
        <v>28</v>
      </c>
      <c r="C263" t="s">
        <v>38</v>
      </c>
      <c r="D263" t="s">
        <v>50</v>
      </c>
      <c r="E263" t="str">
        <f>IF(F263&lt;5,"Beginner",IF(F263&lt;=10,"Mid-Level","Senior"))</f>
        <v>Senior</v>
      </c>
      <c r="F263" s="2">
        <v>19</v>
      </c>
      <c r="G263" t="s">
        <v>57</v>
      </c>
      <c r="H263" t="s">
        <v>91</v>
      </c>
      <c r="I263" s="2" t="s">
        <v>92</v>
      </c>
      <c r="J263" s="2" t="s">
        <v>134</v>
      </c>
      <c r="K263" s="2">
        <v>3</v>
      </c>
      <c r="L263" s="2">
        <v>2020</v>
      </c>
      <c r="M263" t="s">
        <v>25</v>
      </c>
      <c r="N263" t="s">
        <v>64</v>
      </c>
      <c r="O263" t="s">
        <v>74</v>
      </c>
      <c r="P263">
        <v>13270</v>
      </c>
      <c r="Q263">
        <v>8</v>
      </c>
      <c r="R263" s="4">
        <f>(P263*(1+Q263/100))</f>
        <v>14331.6</v>
      </c>
    </row>
    <row r="264" spans="1:18" x14ac:dyDescent="0.3">
      <c r="A264" t="s">
        <v>17</v>
      </c>
      <c r="B264" t="s">
        <v>28</v>
      </c>
      <c r="C264" t="s">
        <v>33</v>
      </c>
      <c r="D264" t="s">
        <v>43</v>
      </c>
      <c r="E264" t="str">
        <f>IF(F264&lt;5,"Beginner",IF(F264&lt;=10,"Mid-Level","Senior"))</f>
        <v>Beginner</v>
      </c>
      <c r="F264" s="2">
        <v>3</v>
      </c>
      <c r="G264" t="s">
        <v>58</v>
      </c>
      <c r="H264" t="s">
        <v>91</v>
      </c>
      <c r="I264" s="2" t="s">
        <v>92</v>
      </c>
      <c r="J264" s="2" t="s">
        <v>134</v>
      </c>
      <c r="K264" s="2">
        <v>3</v>
      </c>
      <c r="L264" s="2">
        <v>2012</v>
      </c>
      <c r="M264" t="s">
        <v>23</v>
      </c>
      <c r="N264" t="s">
        <v>70</v>
      </c>
      <c r="O264" t="s">
        <v>74</v>
      </c>
      <c r="P264">
        <v>11127</v>
      </c>
      <c r="Q264">
        <v>12</v>
      </c>
      <c r="R264" s="4">
        <f>(P264*(1+Q264/100))</f>
        <v>12462.240000000002</v>
      </c>
    </row>
    <row r="265" spans="1:18" x14ac:dyDescent="0.3">
      <c r="A265" t="s">
        <v>17</v>
      </c>
      <c r="B265" t="s">
        <v>22</v>
      </c>
      <c r="C265" t="s">
        <v>40</v>
      </c>
      <c r="D265" t="s">
        <v>42</v>
      </c>
      <c r="E265" t="str">
        <f>IF(F265&lt;5,"Beginner",IF(F265&lt;=10,"Mid-Level","Senior"))</f>
        <v>Beginner</v>
      </c>
      <c r="F265" s="2">
        <v>2</v>
      </c>
      <c r="G265" t="s">
        <v>59</v>
      </c>
      <c r="H265" t="s">
        <v>91</v>
      </c>
      <c r="I265" s="2" t="s">
        <v>92</v>
      </c>
      <c r="J265" s="2" t="s">
        <v>134</v>
      </c>
      <c r="K265" s="2">
        <v>3</v>
      </c>
      <c r="L265" s="2">
        <v>2017</v>
      </c>
      <c r="M265" t="s">
        <v>23</v>
      </c>
      <c r="N265" t="s">
        <v>70</v>
      </c>
      <c r="O265" t="s">
        <v>75</v>
      </c>
      <c r="P265">
        <v>9355</v>
      </c>
      <c r="Q265">
        <v>8</v>
      </c>
      <c r="R265" s="4">
        <f>(P265*(1+Q265/100))</f>
        <v>10103.400000000001</v>
      </c>
    </row>
    <row r="266" spans="1:18" x14ac:dyDescent="0.3">
      <c r="A266" t="s">
        <v>17</v>
      </c>
      <c r="B266" t="s">
        <v>22</v>
      </c>
      <c r="C266" t="s">
        <v>40</v>
      </c>
      <c r="D266" t="s">
        <v>41</v>
      </c>
      <c r="E266" t="str">
        <f>IF(F266&lt;5,"Beginner",IF(F266&lt;=10,"Mid-Level","Senior"))</f>
        <v>Mid-Level</v>
      </c>
      <c r="F266" s="2">
        <v>6</v>
      </c>
      <c r="G266" t="s">
        <v>52</v>
      </c>
      <c r="H266" t="s">
        <v>91</v>
      </c>
      <c r="I266" s="2" t="s">
        <v>92</v>
      </c>
      <c r="J266" s="2" t="s">
        <v>134</v>
      </c>
      <c r="K266" s="2">
        <v>3</v>
      </c>
      <c r="L266" s="2">
        <v>2023</v>
      </c>
      <c r="M266" t="s">
        <v>24</v>
      </c>
      <c r="N266" t="s">
        <v>65</v>
      </c>
      <c r="O266" t="s">
        <v>75</v>
      </c>
      <c r="P266">
        <v>12653</v>
      </c>
      <c r="Q266">
        <v>9</v>
      </c>
      <c r="R266" s="4">
        <f>(P266*(1+Q266/100))</f>
        <v>13791.77</v>
      </c>
    </row>
    <row r="267" spans="1:18" x14ac:dyDescent="0.3">
      <c r="A267" t="s">
        <v>17</v>
      </c>
      <c r="B267" t="s">
        <v>27</v>
      </c>
      <c r="C267" t="s">
        <v>37</v>
      </c>
      <c r="D267" t="s">
        <v>42</v>
      </c>
      <c r="E267" t="str">
        <f>IF(F267&lt;5,"Beginner",IF(F267&lt;=10,"Mid-Level","Senior"))</f>
        <v>Beginner</v>
      </c>
      <c r="F267" s="2">
        <v>1</v>
      </c>
      <c r="G267" t="s">
        <v>51</v>
      </c>
      <c r="H267" t="s">
        <v>91</v>
      </c>
      <c r="I267" s="2" t="s">
        <v>92</v>
      </c>
      <c r="J267" s="2" t="s">
        <v>134</v>
      </c>
      <c r="K267" s="2">
        <v>3</v>
      </c>
      <c r="L267" s="2">
        <v>2016</v>
      </c>
      <c r="M267" t="s">
        <v>25</v>
      </c>
      <c r="N267" t="s">
        <v>72</v>
      </c>
      <c r="O267" t="s">
        <v>76</v>
      </c>
      <c r="P267">
        <v>7325</v>
      </c>
      <c r="Q267">
        <v>12</v>
      </c>
      <c r="R267" s="4">
        <f>(P267*(1+Q267/100))</f>
        <v>8204</v>
      </c>
    </row>
    <row r="268" spans="1:18" x14ac:dyDescent="0.3">
      <c r="A268" t="s">
        <v>14</v>
      </c>
      <c r="B268" t="s">
        <v>24</v>
      </c>
      <c r="C268" t="s">
        <v>34</v>
      </c>
      <c r="D268" t="s">
        <v>43</v>
      </c>
      <c r="E268" t="str">
        <f>IF(F268&lt;5,"Beginner",IF(F268&lt;=10,"Mid-Level","Senior"))</f>
        <v>Senior</v>
      </c>
      <c r="F268" s="2">
        <v>11</v>
      </c>
      <c r="G268" t="s">
        <v>53</v>
      </c>
      <c r="H268" t="s">
        <v>86</v>
      </c>
      <c r="I268" s="2" t="s">
        <v>87</v>
      </c>
      <c r="J268" s="2" t="s">
        <v>88</v>
      </c>
      <c r="K268" s="2">
        <v>3</v>
      </c>
      <c r="L268" s="2">
        <v>2018</v>
      </c>
      <c r="M268" t="s">
        <v>27</v>
      </c>
      <c r="N268" t="s">
        <v>65</v>
      </c>
      <c r="O268" t="s">
        <v>75</v>
      </c>
      <c r="P268">
        <v>13588</v>
      </c>
      <c r="Q268">
        <v>8</v>
      </c>
      <c r="R268" s="4">
        <f>(P268*(1+Q268/100))</f>
        <v>14675.04</v>
      </c>
    </row>
    <row r="269" spans="1:18" x14ac:dyDescent="0.3">
      <c r="A269" t="s">
        <v>14</v>
      </c>
      <c r="B269" t="s">
        <v>27</v>
      </c>
      <c r="C269" t="s">
        <v>37</v>
      </c>
      <c r="D269" t="s">
        <v>44</v>
      </c>
      <c r="E269" t="str">
        <f>IF(F269&lt;5,"Beginner",IF(F269&lt;=10,"Mid-Level","Senior"))</f>
        <v>Senior</v>
      </c>
      <c r="F269" s="2">
        <v>11</v>
      </c>
      <c r="G269" t="s">
        <v>54</v>
      </c>
      <c r="H269" t="s">
        <v>86</v>
      </c>
      <c r="I269" s="2" t="s">
        <v>87</v>
      </c>
      <c r="J269" s="2" t="s">
        <v>88</v>
      </c>
      <c r="K269" s="2">
        <v>3</v>
      </c>
      <c r="L269" s="2">
        <v>2021</v>
      </c>
      <c r="M269" t="s">
        <v>29</v>
      </c>
      <c r="N269" t="s">
        <v>68</v>
      </c>
      <c r="O269" t="s">
        <v>73</v>
      </c>
      <c r="P269">
        <v>13016</v>
      </c>
      <c r="Q269">
        <v>18</v>
      </c>
      <c r="R269" s="4">
        <f>(P269*(1+Q269/100))</f>
        <v>15358.88</v>
      </c>
    </row>
    <row r="270" spans="1:18" x14ac:dyDescent="0.3">
      <c r="A270" t="s">
        <v>14</v>
      </c>
      <c r="B270" t="s">
        <v>28</v>
      </c>
      <c r="C270" t="s">
        <v>39</v>
      </c>
      <c r="D270" t="s">
        <v>46</v>
      </c>
      <c r="E270" t="str">
        <f>IF(F270&lt;5,"Beginner",IF(F270&lt;=10,"Mid-Level","Senior"))</f>
        <v>Senior</v>
      </c>
      <c r="F270" s="2">
        <v>14</v>
      </c>
      <c r="G270" t="s">
        <v>52</v>
      </c>
      <c r="H270" t="s">
        <v>86</v>
      </c>
      <c r="I270" s="2" t="s">
        <v>87</v>
      </c>
      <c r="J270" s="2" t="s">
        <v>88</v>
      </c>
      <c r="K270" s="2">
        <v>3</v>
      </c>
      <c r="L270" s="2">
        <v>2014</v>
      </c>
      <c r="M270" t="s">
        <v>22</v>
      </c>
      <c r="N270" t="s">
        <v>64</v>
      </c>
      <c r="O270" t="s">
        <v>77</v>
      </c>
      <c r="P270">
        <v>14611</v>
      </c>
      <c r="Q270">
        <v>15</v>
      </c>
      <c r="R270" s="4">
        <f>(P270*(1+Q270/100))</f>
        <v>16802.649999999998</v>
      </c>
    </row>
    <row r="271" spans="1:18" x14ac:dyDescent="0.3">
      <c r="A271" t="s">
        <v>14</v>
      </c>
      <c r="B271" t="s">
        <v>28</v>
      </c>
      <c r="C271" t="s">
        <v>39</v>
      </c>
      <c r="D271" t="s">
        <v>42</v>
      </c>
      <c r="E271" t="str">
        <f>IF(F271&lt;5,"Beginner",IF(F271&lt;=10,"Mid-Level","Senior"))</f>
        <v>Senior</v>
      </c>
      <c r="F271" s="2">
        <v>12</v>
      </c>
      <c r="G271" t="s">
        <v>56</v>
      </c>
      <c r="H271" t="s">
        <v>86</v>
      </c>
      <c r="I271" s="2" t="s">
        <v>87</v>
      </c>
      <c r="J271" s="2" t="s">
        <v>88</v>
      </c>
      <c r="K271" s="2">
        <v>3</v>
      </c>
      <c r="L271" s="2">
        <v>2019</v>
      </c>
      <c r="M271" t="s">
        <v>22</v>
      </c>
      <c r="N271" t="s">
        <v>65</v>
      </c>
      <c r="O271" t="s">
        <v>73</v>
      </c>
      <c r="P271">
        <v>11280</v>
      </c>
      <c r="Q271">
        <v>9</v>
      </c>
      <c r="R271" s="4">
        <f>(P271*(1+Q271/100))</f>
        <v>12295.2</v>
      </c>
    </row>
    <row r="272" spans="1:18" x14ac:dyDescent="0.3">
      <c r="A272" t="s">
        <v>14</v>
      </c>
      <c r="B272" t="s">
        <v>25</v>
      </c>
      <c r="C272" t="s">
        <v>38</v>
      </c>
      <c r="D272" t="s">
        <v>42</v>
      </c>
      <c r="E272" t="str">
        <f>IF(F272&lt;5,"Beginner",IF(F272&lt;=10,"Mid-Level","Senior"))</f>
        <v>Mid-Level</v>
      </c>
      <c r="F272" s="2">
        <v>10</v>
      </c>
      <c r="G272" t="s">
        <v>58</v>
      </c>
      <c r="H272" t="s">
        <v>86</v>
      </c>
      <c r="I272" s="2" t="s">
        <v>87</v>
      </c>
      <c r="J272" s="2" t="s">
        <v>88</v>
      </c>
      <c r="K272" s="2">
        <v>3</v>
      </c>
      <c r="L272" s="2">
        <v>2018</v>
      </c>
      <c r="M272" t="s">
        <v>24</v>
      </c>
      <c r="N272" t="s">
        <v>66</v>
      </c>
      <c r="O272" t="s">
        <v>77</v>
      </c>
      <c r="P272">
        <v>13850</v>
      </c>
      <c r="Q272">
        <v>9</v>
      </c>
      <c r="R272" s="4">
        <f>(P272*(1+Q272/100))</f>
        <v>15096.500000000002</v>
      </c>
    </row>
    <row r="273" spans="1:18" x14ac:dyDescent="0.3">
      <c r="A273" t="s">
        <v>14</v>
      </c>
      <c r="B273" t="s">
        <v>24</v>
      </c>
      <c r="C273" t="s">
        <v>32</v>
      </c>
      <c r="D273" t="s">
        <v>41</v>
      </c>
      <c r="E273" t="str">
        <f>IF(F273&lt;5,"Beginner",IF(F273&lt;=10,"Mid-Level","Senior"))</f>
        <v>Senior</v>
      </c>
      <c r="F273" s="2">
        <v>14</v>
      </c>
      <c r="G273" t="s">
        <v>58</v>
      </c>
      <c r="H273" t="s">
        <v>86</v>
      </c>
      <c r="I273" s="2" t="s">
        <v>87</v>
      </c>
      <c r="J273" s="2" t="s">
        <v>88</v>
      </c>
      <c r="K273" s="2">
        <v>3</v>
      </c>
      <c r="L273" s="2">
        <v>2024</v>
      </c>
      <c r="M273" t="s">
        <v>30</v>
      </c>
      <c r="N273" t="s">
        <v>63</v>
      </c>
      <c r="O273" t="s">
        <v>74</v>
      </c>
      <c r="P273">
        <v>8300</v>
      </c>
      <c r="Q273">
        <v>17</v>
      </c>
      <c r="R273" s="4">
        <f>(P273*(1+Q273/100))</f>
        <v>9711</v>
      </c>
    </row>
    <row r="274" spans="1:18" x14ac:dyDescent="0.3">
      <c r="A274" t="s">
        <v>14</v>
      </c>
      <c r="B274" t="s">
        <v>29</v>
      </c>
      <c r="C274" t="s">
        <v>40</v>
      </c>
      <c r="D274" t="s">
        <v>49</v>
      </c>
      <c r="E274" t="str">
        <f>IF(F274&lt;5,"Beginner",IF(F274&lt;=10,"Mid-Level","Senior"))</f>
        <v>Beginner</v>
      </c>
      <c r="F274" s="2">
        <v>2</v>
      </c>
      <c r="G274" t="s">
        <v>52</v>
      </c>
      <c r="H274" t="s">
        <v>86</v>
      </c>
      <c r="I274" s="2" t="s">
        <v>87</v>
      </c>
      <c r="J274" s="2" t="s">
        <v>88</v>
      </c>
      <c r="K274" s="2">
        <v>3</v>
      </c>
      <c r="L274" s="2">
        <v>2010</v>
      </c>
      <c r="M274" t="s">
        <v>23</v>
      </c>
      <c r="N274" t="s">
        <v>68</v>
      </c>
      <c r="O274" t="s">
        <v>75</v>
      </c>
      <c r="P274">
        <v>11408</v>
      </c>
      <c r="Q274">
        <v>8</v>
      </c>
      <c r="R274" s="4">
        <f>(P274*(1+Q274/100))</f>
        <v>12320.640000000001</v>
      </c>
    </row>
    <row r="275" spans="1:18" x14ac:dyDescent="0.3">
      <c r="A275" t="s">
        <v>14</v>
      </c>
      <c r="B275" t="s">
        <v>23</v>
      </c>
      <c r="C275" t="s">
        <v>32</v>
      </c>
      <c r="D275" t="s">
        <v>41</v>
      </c>
      <c r="E275" t="str">
        <f>IF(F275&lt;5,"Beginner",IF(F275&lt;=10,"Mid-Level","Senior"))</f>
        <v>Senior</v>
      </c>
      <c r="F275" s="2">
        <v>12</v>
      </c>
      <c r="G275" t="s">
        <v>57</v>
      </c>
      <c r="H275" t="s">
        <v>86</v>
      </c>
      <c r="I275" s="2" t="s">
        <v>87</v>
      </c>
      <c r="J275" s="2" t="s">
        <v>88</v>
      </c>
      <c r="K275" s="2">
        <v>3</v>
      </c>
      <c r="L275" s="2">
        <v>2025</v>
      </c>
      <c r="M275" t="s">
        <v>30</v>
      </c>
      <c r="N275" t="s">
        <v>66</v>
      </c>
      <c r="O275" t="s">
        <v>75</v>
      </c>
      <c r="P275">
        <v>9031</v>
      </c>
      <c r="Q275">
        <v>15</v>
      </c>
      <c r="R275" s="4">
        <f>(P275*(1+Q275/100))</f>
        <v>10385.65</v>
      </c>
    </row>
    <row r="276" spans="1:18" x14ac:dyDescent="0.3">
      <c r="A276" t="s">
        <v>14</v>
      </c>
      <c r="B276" t="s">
        <v>26</v>
      </c>
      <c r="C276" t="s">
        <v>33</v>
      </c>
      <c r="D276" t="s">
        <v>41</v>
      </c>
      <c r="E276" t="str">
        <f>IF(F276&lt;5,"Beginner",IF(F276&lt;=10,"Mid-Level","Senior"))</f>
        <v>Senior</v>
      </c>
      <c r="F276" s="2">
        <v>11</v>
      </c>
      <c r="G276" t="s">
        <v>59</v>
      </c>
      <c r="H276" t="s">
        <v>86</v>
      </c>
      <c r="I276" s="2" t="s">
        <v>87</v>
      </c>
      <c r="J276" s="2" t="s">
        <v>88</v>
      </c>
      <c r="K276" s="2">
        <v>3</v>
      </c>
      <c r="L276" s="2">
        <v>2017</v>
      </c>
      <c r="M276" t="s">
        <v>31</v>
      </c>
      <c r="N276" t="s">
        <v>65</v>
      </c>
      <c r="O276" t="s">
        <v>73</v>
      </c>
      <c r="P276">
        <v>14520</v>
      </c>
      <c r="Q276">
        <v>9</v>
      </c>
      <c r="R276" s="4">
        <f>(P276*(1+Q276/100))</f>
        <v>15826.800000000001</v>
      </c>
    </row>
    <row r="277" spans="1:18" x14ac:dyDescent="0.3">
      <c r="A277" t="s">
        <v>14</v>
      </c>
      <c r="B277" t="s">
        <v>23</v>
      </c>
      <c r="C277" t="s">
        <v>5</v>
      </c>
      <c r="D277" t="s">
        <v>47</v>
      </c>
      <c r="E277" t="str">
        <f>IF(F277&lt;5,"Beginner",IF(F277&lt;=10,"Mid-Level","Senior"))</f>
        <v>Mid-Level</v>
      </c>
      <c r="F277" s="2">
        <v>9</v>
      </c>
      <c r="G277" t="s">
        <v>59</v>
      </c>
      <c r="H277" t="s">
        <v>86</v>
      </c>
      <c r="I277" s="2" t="s">
        <v>87</v>
      </c>
      <c r="J277" s="2" t="s">
        <v>88</v>
      </c>
      <c r="K277" s="2">
        <v>3</v>
      </c>
      <c r="L277" s="2">
        <v>2016</v>
      </c>
      <c r="M277" t="s">
        <v>30</v>
      </c>
      <c r="N277" t="s">
        <v>66</v>
      </c>
      <c r="O277" t="s">
        <v>74</v>
      </c>
      <c r="P277">
        <v>11109</v>
      </c>
      <c r="Q277">
        <v>15</v>
      </c>
      <c r="R277" s="4">
        <f>(P277*(1+Q277/100))</f>
        <v>12775.349999999999</v>
      </c>
    </row>
    <row r="278" spans="1:18" x14ac:dyDescent="0.3">
      <c r="A278" t="s">
        <v>14</v>
      </c>
      <c r="B278" t="s">
        <v>31</v>
      </c>
      <c r="C278" t="s">
        <v>35</v>
      </c>
      <c r="D278" t="s">
        <v>49</v>
      </c>
      <c r="E278" t="str">
        <f>IF(F278&lt;5,"Beginner",IF(F278&lt;=10,"Mid-Level","Senior"))</f>
        <v>Beginner</v>
      </c>
      <c r="F278" s="2">
        <v>1</v>
      </c>
      <c r="G278" t="s">
        <v>59</v>
      </c>
      <c r="H278" t="s">
        <v>86</v>
      </c>
      <c r="I278" s="2" t="s">
        <v>87</v>
      </c>
      <c r="J278" s="2" t="s">
        <v>88</v>
      </c>
      <c r="K278" s="2">
        <v>3</v>
      </c>
      <c r="L278" s="2">
        <v>2014</v>
      </c>
      <c r="M278" t="s">
        <v>25</v>
      </c>
      <c r="N278" t="s">
        <v>72</v>
      </c>
      <c r="O278" t="s">
        <v>74</v>
      </c>
      <c r="P278">
        <v>9681</v>
      </c>
      <c r="Q278">
        <v>11</v>
      </c>
      <c r="R278" s="4">
        <f>(P278*(1+Q278/100))</f>
        <v>10745.910000000002</v>
      </c>
    </row>
    <row r="279" spans="1:18" x14ac:dyDescent="0.3">
      <c r="A279" t="s">
        <v>14</v>
      </c>
      <c r="B279" t="s">
        <v>22</v>
      </c>
      <c r="C279" t="s">
        <v>34</v>
      </c>
      <c r="D279" t="s">
        <v>47</v>
      </c>
      <c r="E279" t="str">
        <f>IF(F279&lt;5,"Beginner",IF(F279&lt;=10,"Mid-Level","Senior"))</f>
        <v>Senior</v>
      </c>
      <c r="F279" s="2">
        <v>20</v>
      </c>
      <c r="G279" t="s">
        <v>52</v>
      </c>
      <c r="H279" t="s">
        <v>86</v>
      </c>
      <c r="I279" s="2" t="s">
        <v>87</v>
      </c>
      <c r="J279" s="2" t="s">
        <v>88</v>
      </c>
      <c r="K279" s="2">
        <v>3</v>
      </c>
      <c r="L279" s="2">
        <v>2018</v>
      </c>
      <c r="M279" t="s">
        <v>31</v>
      </c>
      <c r="N279" t="s">
        <v>63</v>
      </c>
      <c r="O279" t="s">
        <v>75</v>
      </c>
      <c r="P279">
        <v>12032</v>
      </c>
      <c r="Q279">
        <v>10</v>
      </c>
      <c r="R279" s="4">
        <f>(P279*(1+Q279/100))</f>
        <v>13235.2</v>
      </c>
    </row>
    <row r="280" spans="1:18" x14ac:dyDescent="0.3">
      <c r="A280" t="s">
        <v>14</v>
      </c>
      <c r="B280" t="s">
        <v>24</v>
      </c>
      <c r="C280" t="s">
        <v>36</v>
      </c>
      <c r="D280" t="s">
        <v>45</v>
      </c>
      <c r="E280" t="str">
        <f>IF(F280&lt;5,"Beginner",IF(F280&lt;=10,"Mid-Level","Senior"))</f>
        <v>Mid-Level</v>
      </c>
      <c r="F280" s="2">
        <v>6</v>
      </c>
      <c r="G280" t="s">
        <v>51</v>
      </c>
      <c r="H280" t="s">
        <v>86</v>
      </c>
      <c r="I280" s="2" t="s">
        <v>87</v>
      </c>
      <c r="J280" s="2" t="s">
        <v>88</v>
      </c>
      <c r="K280" s="2">
        <v>3</v>
      </c>
      <c r="L280" s="2">
        <v>2017</v>
      </c>
      <c r="M280" t="s">
        <v>28</v>
      </c>
      <c r="N280" t="s">
        <v>63</v>
      </c>
      <c r="O280" t="s">
        <v>76</v>
      </c>
      <c r="P280">
        <v>12149</v>
      </c>
      <c r="Q280">
        <v>11</v>
      </c>
      <c r="R280" s="4">
        <f>(P280*(1+Q280/100))</f>
        <v>13485.390000000001</v>
      </c>
    </row>
    <row r="281" spans="1:18" x14ac:dyDescent="0.3">
      <c r="A281" t="s">
        <v>14</v>
      </c>
      <c r="B281" t="s">
        <v>31</v>
      </c>
      <c r="C281" t="s">
        <v>33</v>
      </c>
      <c r="D281" t="s">
        <v>50</v>
      </c>
      <c r="E281" t="str">
        <f>IF(F281&lt;5,"Beginner",IF(F281&lt;=10,"Mid-Level","Senior"))</f>
        <v>Senior</v>
      </c>
      <c r="F281" s="2">
        <v>11</v>
      </c>
      <c r="G281" t="s">
        <v>56</v>
      </c>
      <c r="H281" t="s">
        <v>86</v>
      </c>
      <c r="I281" s="2" t="s">
        <v>87</v>
      </c>
      <c r="J281" s="2" t="s">
        <v>88</v>
      </c>
      <c r="K281" s="2">
        <v>3</v>
      </c>
      <c r="L281" s="2">
        <v>2016</v>
      </c>
      <c r="M281" t="s">
        <v>22</v>
      </c>
      <c r="N281" t="s">
        <v>63</v>
      </c>
      <c r="O281" t="s">
        <v>74</v>
      </c>
      <c r="P281">
        <v>14062</v>
      </c>
      <c r="Q281">
        <v>9</v>
      </c>
      <c r="R281" s="4">
        <f>(P281*(1+Q281/100))</f>
        <v>15327.580000000002</v>
      </c>
    </row>
    <row r="282" spans="1:18" x14ac:dyDescent="0.3">
      <c r="A282" t="s">
        <v>14</v>
      </c>
      <c r="B282" t="s">
        <v>29</v>
      </c>
      <c r="C282" t="s">
        <v>32</v>
      </c>
      <c r="D282" t="s">
        <v>46</v>
      </c>
      <c r="E282" t="str">
        <f>IF(F282&lt;5,"Beginner",IF(F282&lt;=10,"Mid-Level","Senior"))</f>
        <v>Senior</v>
      </c>
      <c r="F282" s="2">
        <v>13</v>
      </c>
      <c r="G282" t="s">
        <v>51</v>
      </c>
      <c r="H282" t="s">
        <v>86</v>
      </c>
      <c r="I282" s="2" t="s">
        <v>87</v>
      </c>
      <c r="J282" s="2" t="s">
        <v>88</v>
      </c>
      <c r="K282" s="2">
        <v>3</v>
      </c>
      <c r="L282" s="2">
        <v>2025</v>
      </c>
      <c r="M282" t="s">
        <v>31</v>
      </c>
      <c r="N282" t="s">
        <v>72</v>
      </c>
      <c r="O282" t="s">
        <v>74</v>
      </c>
      <c r="P282">
        <v>11902</v>
      </c>
      <c r="Q282">
        <v>8</v>
      </c>
      <c r="R282" s="4">
        <f>(P282*(1+Q282/100))</f>
        <v>12854.160000000002</v>
      </c>
    </row>
    <row r="283" spans="1:18" x14ac:dyDescent="0.3">
      <c r="A283" t="s">
        <v>14</v>
      </c>
      <c r="B283" t="s">
        <v>26</v>
      </c>
      <c r="C283" t="s">
        <v>39</v>
      </c>
      <c r="D283" t="s">
        <v>48</v>
      </c>
      <c r="E283" t="str">
        <f>IF(F283&lt;5,"Beginner",IF(F283&lt;=10,"Mid-Level","Senior"))</f>
        <v>Senior</v>
      </c>
      <c r="F283" s="2">
        <v>16</v>
      </c>
      <c r="G283" t="s">
        <v>56</v>
      </c>
      <c r="H283" t="s">
        <v>86</v>
      </c>
      <c r="I283" s="2" t="s">
        <v>87</v>
      </c>
      <c r="J283" s="2" t="s">
        <v>88</v>
      </c>
      <c r="K283" s="2">
        <v>3</v>
      </c>
      <c r="L283" s="2">
        <v>2022</v>
      </c>
      <c r="M283" t="s">
        <v>26</v>
      </c>
      <c r="N283" t="s">
        <v>67</v>
      </c>
      <c r="O283" t="s">
        <v>75</v>
      </c>
      <c r="P283">
        <v>11826</v>
      </c>
      <c r="Q283">
        <v>8</v>
      </c>
      <c r="R283" s="4">
        <f>(P283*(1+Q283/100))</f>
        <v>12772.080000000002</v>
      </c>
    </row>
    <row r="284" spans="1:18" x14ac:dyDescent="0.3">
      <c r="A284" t="s">
        <v>14</v>
      </c>
      <c r="B284" t="s">
        <v>23</v>
      </c>
      <c r="C284" t="s">
        <v>40</v>
      </c>
      <c r="D284" t="s">
        <v>48</v>
      </c>
      <c r="E284" t="str">
        <f>IF(F284&lt;5,"Beginner",IF(F284&lt;=10,"Mid-Level","Senior"))</f>
        <v>Mid-Level</v>
      </c>
      <c r="F284" s="2">
        <v>10</v>
      </c>
      <c r="G284" t="s">
        <v>57</v>
      </c>
      <c r="H284" t="s">
        <v>86</v>
      </c>
      <c r="I284" s="2" t="s">
        <v>87</v>
      </c>
      <c r="J284" s="2" t="s">
        <v>88</v>
      </c>
      <c r="K284" s="2">
        <v>3</v>
      </c>
      <c r="L284" s="2">
        <v>2013</v>
      </c>
      <c r="M284" t="s">
        <v>22</v>
      </c>
      <c r="N284" t="s">
        <v>69</v>
      </c>
      <c r="O284" t="s">
        <v>77</v>
      </c>
      <c r="P284">
        <v>14506</v>
      </c>
      <c r="Q284">
        <v>10</v>
      </c>
      <c r="R284" s="4">
        <f>(P284*(1+Q284/100))</f>
        <v>15956.600000000002</v>
      </c>
    </row>
    <row r="285" spans="1:18" x14ac:dyDescent="0.3">
      <c r="A285" t="s">
        <v>14</v>
      </c>
      <c r="B285" t="s">
        <v>29</v>
      </c>
      <c r="C285" t="s">
        <v>33</v>
      </c>
      <c r="D285" t="s">
        <v>45</v>
      </c>
      <c r="E285" t="str">
        <f>IF(F285&lt;5,"Beginner",IF(F285&lt;=10,"Mid-Level","Senior"))</f>
        <v>Senior</v>
      </c>
      <c r="F285" s="2">
        <v>20</v>
      </c>
      <c r="G285" t="s">
        <v>52</v>
      </c>
      <c r="H285" t="s">
        <v>86</v>
      </c>
      <c r="I285" s="2" t="s">
        <v>87</v>
      </c>
      <c r="J285" s="2" t="s">
        <v>88</v>
      </c>
      <c r="K285" s="2">
        <v>3</v>
      </c>
      <c r="L285" s="2">
        <v>2015</v>
      </c>
      <c r="M285" t="s">
        <v>26</v>
      </c>
      <c r="N285" t="s">
        <v>70</v>
      </c>
      <c r="O285" t="s">
        <v>77</v>
      </c>
      <c r="P285">
        <v>13163</v>
      </c>
      <c r="Q285">
        <v>17</v>
      </c>
      <c r="R285" s="4">
        <f>(P285*(1+Q285/100))</f>
        <v>15400.71</v>
      </c>
    </row>
    <row r="286" spans="1:18" x14ac:dyDescent="0.3">
      <c r="A286" t="s">
        <v>14</v>
      </c>
      <c r="B286" t="s">
        <v>29</v>
      </c>
      <c r="C286" t="s">
        <v>35</v>
      </c>
      <c r="D286" t="s">
        <v>41</v>
      </c>
      <c r="E286" t="str">
        <f>IF(F286&lt;5,"Beginner",IF(F286&lt;=10,"Mid-Level","Senior"))</f>
        <v>Beginner</v>
      </c>
      <c r="F286" s="2">
        <v>2</v>
      </c>
      <c r="G286" t="s">
        <v>59</v>
      </c>
      <c r="H286" t="s">
        <v>86</v>
      </c>
      <c r="I286" s="2" t="s">
        <v>87</v>
      </c>
      <c r="J286" s="2" t="s">
        <v>88</v>
      </c>
      <c r="K286" s="2">
        <v>3</v>
      </c>
      <c r="L286" s="2">
        <v>2025</v>
      </c>
      <c r="M286" t="s">
        <v>27</v>
      </c>
      <c r="N286" t="s">
        <v>65</v>
      </c>
      <c r="O286" t="s">
        <v>75</v>
      </c>
      <c r="P286">
        <v>8890</v>
      </c>
      <c r="Q286">
        <v>13</v>
      </c>
      <c r="R286" s="4">
        <f>(P286*(1+Q286/100))</f>
        <v>10045.699999999999</v>
      </c>
    </row>
    <row r="287" spans="1:18" x14ac:dyDescent="0.3">
      <c r="A287" t="s">
        <v>14</v>
      </c>
      <c r="B287" t="s">
        <v>24</v>
      </c>
      <c r="C287" t="s">
        <v>39</v>
      </c>
      <c r="D287" t="s">
        <v>49</v>
      </c>
      <c r="E287" t="str">
        <f>IF(F287&lt;5,"Beginner",IF(F287&lt;=10,"Mid-Level","Senior"))</f>
        <v>Senior</v>
      </c>
      <c r="F287" s="2">
        <v>17</v>
      </c>
      <c r="G287" t="s">
        <v>57</v>
      </c>
      <c r="H287" t="s">
        <v>86</v>
      </c>
      <c r="I287" s="2" t="s">
        <v>87</v>
      </c>
      <c r="J287" s="2" t="s">
        <v>88</v>
      </c>
      <c r="K287" s="2">
        <v>3</v>
      </c>
      <c r="L287" s="2">
        <v>2023</v>
      </c>
      <c r="M287" t="s">
        <v>31</v>
      </c>
      <c r="N287" t="s">
        <v>67</v>
      </c>
      <c r="O287" t="s">
        <v>75</v>
      </c>
      <c r="P287">
        <v>14285</v>
      </c>
      <c r="Q287">
        <v>8</v>
      </c>
      <c r="R287" s="4">
        <f>(P287*(1+Q287/100))</f>
        <v>15427.800000000001</v>
      </c>
    </row>
    <row r="288" spans="1:18" x14ac:dyDescent="0.3">
      <c r="A288" t="s">
        <v>14</v>
      </c>
      <c r="B288" t="s">
        <v>24</v>
      </c>
      <c r="C288" t="s">
        <v>5</v>
      </c>
      <c r="D288" t="s">
        <v>43</v>
      </c>
      <c r="E288" t="str">
        <f>IF(F288&lt;5,"Beginner",IF(F288&lt;=10,"Mid-Level","Senior"))</f>
        <v>Mid-Level</v>
      </c>
      <c r="F288" s="2">
        <v>7</v>
      </c>
      <c r="G288" t="s">
        <v>52</v>
      </c>
      <c r="H288" t="s">
        <v>86</v>
      </c>
      <c r="I288" s="2" t="s">
        <v>87</v>
      </c>
      <c r="J288" s="2" t="s">
        <v>88</v>
      </c>
      <c r="K288" s="2">
        <v>3</v>
      </c>
      <c r="L288" s="2">
        <v>2023</v>
      </c>
      <c r="M288" t="s">
        <v>31</v>
      </c>
      <c r="N288" t="s">
        <v>68</v>
      </c>
      <c r="O288" t="s">
        <v>73</v>
      </c>
      <c r="P288">
        <v>10530</v>
      </c>
      <c r="Q288">
        <v>15</v>
      </c>
      <c r="R288" s="4">
        <f>(P288*(1+Q288/100))</f>
        <v>12109.499999999998</v>
      </c>
    </row>
    <row r="289" spans="1:18" x14ac:dyDescent="0.3">
      <c r="A289" t="s">
        <v>14</v>
      </c>
      <c r="B289" t="s">
        <v>24</v>
      </c>
      <c r="C289" t="s">
        <v>38</v>
      </c>
      <c r="D289" t="s">
        <v>43</v>
      </c>
      <c r="E289" t="str">
        <f>IF(F289&lt;5,"Beginner",IF(F289&lt;=10,"Mid-Level","Senior"))</f>
        <v>Senior</v>
      </c>
      <c r="F289" s="2">
        <v>20</v>
      </c>
      <c r="G289" t="s">
        <v>53</v>
      </c>
      <c r="H289" t="s">
        <v>86</v>
      </c>
      <c r="I289" s="2" t="s">
        <v>87</v>
      </c>
      <c r="J289" s="2" t="s">
        <v>88</v>
      </c>
      <c r="K289" s="2">
        <v>3</v>
      </c>
      <c r="L289" s="2">
        <v>2015</v>
      </c>
      <c r="M289" t="s">
        <v>22</v>
      </c>
      <c r="N289" t="s">
        <v>66</v>
      </c>
      <c r="O289" t="s">
        <v>77</v>
      </c>
      <c r="P289">
        <v>11237</v>
      </c>
      <c r="Q289">
        <v>12</v>
      </c>
      <c r="R289" s="4">
        <f>(P289*(1+Q289/100))</f>
        <v>12585.44</v>
      </c>
    </row>
    <row r="290" spans="1:18" x14ac:dyDescent="0.3">
      <c r="A290" t="s">
        <v>14</v>
      </c>
      <c r="B290" t="s">
        <v>27</v>
      </c>
      <c r="C290" t="s">
        <v>38</v>
      </c>
      <c r="D290" t="s">
        <v>41</v>
      </c>
      <c r="E290" t="str">
        <f>IF(F290&lt;5,"Beginner",IF(F290&lt;=10,"Mid-Level","Senior"))</f>
        <v>Mid-Level</v>
      </c>
      <c r="F290" s="2">
        <v>5</v>
      </c>
      <c r="G290" t="s">
        <v>56</v>
      </c>
      <c r="H290" t="s">
        <v>86</v>
      </c>
      <c r="I290" s="2" t="s">
        <v>87</v>
      </c>
      <c r="J290" s="2" t="s">
        <v>88</v>
      </c>
      <c r="K290" s="2">
        <v>3</v>
      </c>
      <c r="L290" s="2">
        <v>2012</v>
      </c>
      <c r="M290" t="s">
        <v>27</v>
      </c>
      <c r="N290" t="s">
        <v>69</v>
      </c>
      <c r="O290" t="s">
        <v>74</v>
      </c>
      <c r="P290">
        <v>9963</v>
      </c>
      <c r="Q290">
        <v>14</v>
      </c>
      <c r="R290" s="4">
        <f>(P290*(1+Q290/100))</f>
        <v>11357.820000000002</v>
      </c>
    </row>
    <row r="291" spans="1:18" x14ac:dyDescent="0.3">
      <c r="A291" t="s">
        <v>14</v>
      </c>
      <c r="B291" t="s">
        <v>25</v>
      </c>
      <c r="C291" t="s">
        <v>36</v>
      </c>
      <c r="D291" t="s">
        <v>47</v>
      </c>
      <c r="E291" t="str">
        <f>IF(F291&lt;5,"Beginner",IF(F291&lt;=10,"Mid-Level","Senior"))</f>
        <v>Senior</v>
      </c>
      <c r="F291" s="2">
        <v>19</v>
      </c>
      <c r="G291" t="s">
        <v>55</v>
      </c>
      <c r="H291" t="s">
        <v>86</v>
      </c>
      <c r="I291" s="2" t="s">
        <v>87</v>
      </c>
      <c r="J291" s="2" t="s">
        <v>88</v>
      </c>
      <c r="K291" s="2">
        <v>3</v>
      </c>
      <c r="L291" s="2">
        <v>2012</v>
      </c>
      <c r="M291" t="s">
        <v>22</v>
      </c>
      <c r="N291" t="s">
        <v>72</v>
      </c>
      <c r="O291" t="s">
        <v>74</v>
      </c>
      <c r="P291">
        <v>14643</v>
      </c>
      <c r="Q291">
        <v>8</v>
      </c>
      <c r="R291" s="4">
        <f>(P291*(1+Q291/100))</f>
        <v>15814.44</v>
      </c>
    </row>
    <row r="292" spans="1:18" x14ac:dyDescent="0.3">
      <c r="A292" t="s">
        <v>14</v>
      </c>
      <c r="B292" t="s">
        <v>25</v>
      </c>
      <c r="C292" t="s">
        <v>34</v>
      </c>
      <c r="D292" t="s">
        <v>47</v>
      </c>
      <c r="E292" t="str">
        <f>IF(F292&lt;5,"Beginner",IF(F292&lt;=10,"Mid-Level","Senior"))</f>
        <v>Senior</v>
      </c>
      <c r="F292" s="2">
        <v>16</v>
      </c>
      <c r="G292" t="s">
        <v>57</v>
      </c>
      <c r="H292" t="s">
        <v>86</v>
      </c>
      <c r="I292" s="2" t="s">
        <v>87</v>
      </c>
      <c r="J292" s="2" t="s">
        <v>88</v>
      </c>
      <c r="K292" s="2">
        <v>3</v>
      </c>
      <c r="L292" s="2">
        <v>2015</v>
      </c>
      <c r="M292" t="s">
        <v>27</v>
      </c>
      <c r="N292" t="s">
        <v>70</v>
      </c>
      <c r="O292" t="s">
        <v>73</v>
      </c>
      <c r="P292">
        <v>9859</v>
      </c>
      <c r="Q292">
        <v>8</v>
      </c>
      <c r="R292" s="4">
        <f>(P292*(1+Q292/100))</f>
        <v>10647.720000000001</v>
      </c>
    </row>
    <row r="293" spans="1:18" x14ac:dyDescent="0.3">
      <c r="A293" t="s">
        <v>14</v>
      </c>
      <c r="B293" t="s">
        <v>25</v>
      </c>
      <c r="C293" t="s">
        <v>5</v>
      </c>
      <c r="D293" t="s">
        <v>46</v>
      </c>
      <c r="E293" t="str">
        <f>IF(F293&lt;5,"Beginner",IF(F293&lt;=10,"Mid-Level","Senior"))</f>
        <v>Mid-Level</v>
      </c>
      <c r="F293" s="2">
        <v>7</v>
      </c>
      <c r="G293" t="s">
        <v>53</v>
      </c>
      <c r="H293" t="s">
        <v>86</v>
      </c>
      <c r="I293" s="2" t="s">
        <v>87</v>
      </c>
      <c r="J293" s="2" t="s">
        <v>88</v>
      </c>
      <c r="K293" s="2">
        <v>3</v>
      </c>
      <c r="L293" s="2">
        <v>2012</v>
      </c>
      <c r="M293" t="s">
        <v>22</v>
      </c>
      <c r="N293" t="s">
        <v>67</v>
      </c>
      <c r="O293" t="s">
        <v>76</v>
      </c>
      <c r="P293">
        <v>12785</v>
      </c>
      <c r="Q293">
        <v>20</v>
      </c>
      <c r="R293" s="4">
        <f>(P293*(1+Q293/100))</f>
        <v>15342</v>
      </c>
    </row>
    <row r="294" spans="1:18" x14ac:dyDescent="0.3">
      <c r="A294" t="s">
        <v>14</v>
      </c>
      <c r="B294" t="s">
        <v>25</v>
      </c>
      <c r="C294" t="s">
        <v>32</v>
      </c>
      <c r="D294" t="s">
        <v>50</v>
      </c>
      <c r="E294" t="str">
        <f>IF(F294&lt;5,"Beginner",IF(F294&lt;=10,"Mid-Level","Senior"))</f>
        <v>Mid-Level</v>
      </c>
      <c r="F294" s="2">
        <v>6</v>
      </c>
      <c r="G294" t="s">
        <v>56</v>
      </c>
      <c r="H294" t="s">
        <v>86</v>
      </c>
      <c r="I294" s="2" t="s">
        <v>87</v>
      </c>
      <c r="J294" s="2" t="s">
        <v>88</v>
      </c>
      <c r="K294" s="2">
        <v>3</v>
      </c>
      <c r="L294" s="2">
        <v>2023</v>
      </c>
      <c r="M294" t="s">
        <v>29</v>
      </c>
      <c r="N294" t="s">
        <v>64</v>
      </c>
      <c r="O294" t="s">
        <v>73</v>
      </c>
      <c r="P294">
        <v>10399</v>
      </c>
      <c r="Q294">
        <v>19</v>
      </c>
      <c r="R294" s="4">
        <f>(P294*(1+Q294/100))</f>
        <v>12374.81</v>
      </c>
    </row>
    <row r="295" spans="1:18" x14ac:dyDescent="0.3">
      <c r="A295" t="s">
        <v>14</v>
      </c>
      <c r="B295" t="s">
        <v>27</v>
      </c>
      <c r="C295" t="s">
        <v>35</v>
      </c>
      <c r="D295" t="s">
        <v>41</v>
      </c>
      <c r="E295" t="str">
        <f>IF(F295&lt;5,"Beginner",IF(F295&lt;=10,"Mid-Level","Senior"))</f>
        <v>Senior</v>
      </c>
      <c r="F295" s="2">
        <v>19</v>
      </c>
      <c r="G295" t="s">
        <v>59</v>
      </c>
      <c r="H295" t="s">
        <v>86</v>
      </c>
      <c r="I295" s="2" t="s">
        <v>87</v>
      </c>
      <c r="J295" s="2" t="s">
        <v>88</v>
      </c>
      <c r="K295" s="2">
        <v>3</v>
      </c>
      <c r="L295" s="2">
        <v>2023</v>
      </c>
      <c r="M295" t="s">
        <v>30</v>
      </c>
      <c r="N295" t="s">
        <v>66</v>
      </c>
      <c r="O295" t="s">
        <v>76</v>
      </c>
      <c r="P295">
        <v>10103</v>
      </c>
      <c r="Q295">
        <v>9</v>
      </c>
      <c r="R295" s="4">
        <f>(P295*(1+Q295/100))</f>
        <v>11012.27</v>
      </c>
    </row>
    <row r="296" spans="1:18" x14ac:dyDescent="0.3">
      <c r="A296" t="s">
        <v>14</v>
      </c>
      <c r="B296" t="s">
        <v>29</v>
      </c>
      <c r="C296" t="s">
        <v>5</v>
      </c>
      <c r="D296" t="s">
        <v>49</v>
      </c>
      <c r="E296" t="str">
        <f>IF(F296&lt;5,"Beginner",IF(F296&lt;=10,"Mid-Level","Senior"))</f>
        <v>Beginner</v>
      </c>
      <c r="F296" s="2">
        <v>1</v>
      </c>
      <c r="G296" t="s">
        <v>58</v>
      </c>
      <c r="H296" t="s">
        <v>86</v>
      </c>
      <c r="I296" s="2" t="s">
        <v>87</v>
      </c>
      <c r="J296" s="2" t="s">
        <v>88</v>
      </c>
      <c r="K296" s="2">
        <v>3</v>
      </c>
      <c r="L296" s="2">
        <v>2024</v>
      </c>
      <c r="M296" t="s">
        <v>24</v>
      </c>
      <c r="N296" t="s">
        <v>70</v>
      </c>
      <c r="O296" t="s">
        <v>73</v>
      </c>
      <c r="P296">
        <v>13206</v>
      </c>
      <c r="Q296">
        <v>13</v>
      </c>
      <c r="R296" s="4">
        <f>(P296*(1+Q296/100))</f>
        <v>14922.779999999999</v>
      </c>
    </row>
    <row r="297" spans="1:18" x14ac:dyDescent="0.3">
      <c r="A297" t="s">
        <v>14</v>
      </c>
      <c r="B297" t="s">
        <v>29</v>
      </c>
      <c r="C297" t="s">
        <v>33</v>
      </c>
      <c r="D297" t="s">
        <v>47</v>
      </c>
      <c r="E297" t="str">
        <f>IF(F297&lt;5,"Beginner",IF(F297&lt;=10,"Mid-Level","Senior"))</f>
        <v>Beginner</v>
      </c>
      <c r="F297" s="2">
        <v>3</v>
      </c>
      <c r="G297" t="s">
        <v>53</v>
      </c>
      <c r="H297" t="s">
        <v>86</v>
      </c>
      <c r="I297" s="2" t="s">
        <v>87</v>
      </c>
      <c r="J297" s="2" t="s">
        <v>88</v>
      </c>
      <c r="K297" s="2">
        <v>3</v>
      </c>
      <c r="L297" s="2">
        <v>2024</v>
      </c>
      <c r="M297" t="s">
        <v>30</v>
      </c>
      <c r="N297" t="s">
        <v>67</v>
      </c>
      <c r="O297" t="s">
        <v>73</v>
      </c>
      <c r="P297">
        <v>12908</v>
      </c>
      <c r="Q297">
        <v>16</v>
      </c>
      <c r="R297" s="4">
        <f>(P297*(1+Q297/100))</f>
        <v>14973.279999999999</v>
      </c>
    </row>
    <row r="298" spans="1:18" x14ac:dyDescent="0.3">
      <c r="A298" t="s">
        <v>14</v>
      </c>
      <c r="B298" t="s">
        <v>23</v>
      </c>
      <c r="C298" t="s">
        <v>32</v>
      </c>
      <c r="D298" t="s">
        <v>45</v>
      </c>
      <c r="E298" t="str">
        <f>IF(F298&lt;5,"Beginner",IF(F298&lt;=10,"Mid-Level","Senior"))</f>
        <v>Mid-Level</v>
      </c>
      <c r="F298" s="2">
        <v>6</v>
      </c>
      <c r="G298" t="s">
        <v>52</v>
      </c>
      <c r="H298" t="s">
        <v>86</v>
      </c>
      <c r="I298" s="2" t="s">
        <v>87</v>
      </c>
      <c r="J298" s="2" t="s">
        <v>88</v>
      </c>
      <c r="K298" s="2">
        <v>3</v>
      </c>
      <c r="L298" s="2">
        <v>2021</v>
      </c>
      <c r="M298" t="s">
        <v>26</v>
      </c>
      <c r="N298" t="s">
        <v>63</v>
      </c>
      <c r="O298" t="s">
        <v>77</v>
      </c>
      <c r="P298">
        <v>10550</v>
      </c>
      <c r="Q298">
        <v>8</v>
      </c>
      <c r="R298" s="4">
        <f>(P298*(1+Q298/100))</f>
        <v>11394</v>
      </c>
    </row>
    <row r="299" spans="1:18" x14ac:dyDescent="0.3">
      <c r="A299" t="s">
        <v>14</v>
      </c>
      <c r="B299" t="s">
        <v>25</v>
      </c>
      <c r="C299" t="s">
        <v>37</v>
      </c>
      <c r="D299" t="s">
        <v>42</v>
      </c>
      <c r="E299" t="str">
        <f>IF(F299&lt;5,"Beginner",IF(F299&lt;=10,"Mid-Level","Senior"))</f>
        <v>Senior</v>
      </c>
      <c r="F299" s="2">
        <v>17</v>
      </c>
      <c r="G299" t="s">
        <v>57</v>
      </c>
      <c r="H299" t="s">
        <v>86</v>
      </c>
      <c r="I299" s="2" t="s">
        <v>87</v>
      </c>
      <c r="J299" s="2" t="s">
        <v>88</v>
      </c>
      <c r="K299" s="2">
        <v>3</v>
      </c>
      <c r="L299" s="2">
        <v>2024</v>
      </c>
      <c r="M299" t="s">
        <v>27</v>
      </c>
      <c r="N299" t="s">
        <v>72</v>
      </c>
      <c r="O299" t="s">
        <v>77</v>
      </c>
      <c r="P299">
        <v>9328</v>
      </c>
      <c r="Q299">
        <v>11</v>
      </c>
      <c r="R299" s="4">
        <f>(P299*(1+Q299/100))</f>
        <v>10354.080000000002</v>
      </c>
    </row>
    <row r="300" spans="1:18" x14ac:dyDescent="0.3">
      <c r="A300" t="s">
        <v>14</v>
      </c>
      <c r="B300" t="s">
        <v>31</v>
      </c>
      <c r="C300" t="s">
        <v>36</v>
      </c>
      <c r="D300" t="s">
        <v>47</v>
      </c>
      <c r="E300" t="str">
        <f>IF(F300&lt;5,"Beginner",IF(F300&lt;=10,"Mid-Level","Senior"))</f>
        <v>Mid-Level</v>
      </c>
      <c r="F300" s="2">
        <v>8</v>
      </c>
      <c r="G300" t="s">
        <v>57</v>
      </c>
      <c r="H300" t="s">
        <v>86</v>
      </c>
      <c r="I300" s="2" t="s">
        <v>87</v>
      </c>
      <c r="J300" s="2" t="s">
        <v>88</v>
      </c>
      <c r="K300" s="2">
        <v>3</v>
      </c>
      <c r="L300" s="2">
        <v>2019</v>
      </c>
      <c r="M300" t="s">
        <v>26</v>
      </c>
      <c r="N300" t="s">
        <v>69</v>
      </c>
      <c r="O300" t="s">
        <v>75</v>
      </c>
      <c r="P300">
        <v>12132</v>
      </c>
      <c r="Q300">
        <v>13</v>
      </c>
      <c r="R300" s="4">
        <f>(P300*(1+Q300/100))</f>
        <v>13709.159999999998</v>
      </c>
    </row>
    <row r="301" spans="1:18" x14ac:dyDescent="0.3">
      <c r="A301" t="s">
        <v>14</v>
      </c>
      <c r="B301" t="s">
        <v>27</v>
      </c>
      <c r="C301" t="s">
        <v>40</v>
      </c>
      <c r="D301" t="s">
        <v>42</v>
      </c>
      <c r="E301" t="str">
        <f>IF(F301&lt;5,"Beginner",IF(F301&lt;=10,"Mid-Level","Senior"))</f>
        <v>Senior</v>
      </c>
      <c r="F301" s="2">
        <v>13</v>
      </c>
      <c r="G301" t="s">
        <v>56</v>
      </c>
      <c r="H301" t="s">
        <v>86</v>
      </c>
      <c r="I301" s="2" t="s">
        <v>87</v>
      </c>
      <c r="J301" s="2" t="s">
        <v>88</v>
      </c>
      <c r="K301" s="2">
        <v>3</v>
      </c>
      <c r="L301" s="2">
        <v>2016</v>
      </c>
      <c r="M301" t="s">
        <v>27</v>
      </c>
      <c r="N301" t="s">
        <v>71</v>
      </c>
      <c r="O301" t="s">
        <v>73</v>
      </c>
      <c r="P301">
        <v>14718</v>
      </c>
      <c r="Q301">
        <v>9</v>
      </c>
      <c r="R301" s="4">
        <f>(P301*(1+Q301/100))</f>
        <v>16042.62</v>
      </c>
    </row>
    <row r="302" spans="1:18" x14ac:dyDescent="0.3">
      <c r="A302" t="s">
        <v>14</v>
      </c>
      <c r="B302" t="s">
        <v>30</v>
      </c>
      <c r="C302" t="s">
        <v>35</v>
      </c>
      <c r="D302" t="s">
        <v>44</v>
      </c>
      <c r="E302" t="str">
        <f>IF(F302&lt;5,"Beginner",IF(F302&lt;=10,"Mid-Level","Senior"))</f>
        <v>Mid-Level</v>
      </c>
      <c r="F302" s="2">
        <v>7</v>
      </c>
      <c r="G302" t="s">
        <v>55</v>
      </c>
      <c r="H302" t="s">
        <v>86</v>
      </c>
      <c r="I302" s="2" t="s">
        <v>87</v>
      </c>
      <c r="J302" s="2" t="s">
        <v>88</v>
      </c>
      <c r="K302" s="2">
        <v>3</v>
      </c>
      <c r="L302" s="2">
        <v>2022</v>
      </c>
      <c r="M302" t="s">
        <v>29</v>
      </c>
      <c r="N302" t="s">
        <v>64</v>
      </c>
      <c r="O302" t="s">
        <v>73</v>
      </c>
      <c r="P302">
        <v>13865</v>
      </c>
      <c r="Q302">
        <v>12</v>
      </c>
      <c r="R302" s="4">
        <f>(P302*(1+Q302/100))</f>
        <v>15528.800000000001</v>
      </c>
    </row>
    <row r="303" spans="1:18" x14ac:dyDescent="0.3">
      <c r="A303" t="s">
        <v>14</v>
      </c>
      <c r="B303" t="s">
        <v>23</v>
      </c>
      <c r="C303" t="s">
        <v>40</v>
      </c>
      <c r="D303" t="s">
        <v>42</v>
      </c>
      <c r="E303" t="str">
        <f>IF(F303&lt;5,"Beginner",IF(F303&lt;=10,"Mid-Level","Senior"))</f>
        <v>Beginner</v>
      </c>
      <c r="F303" s="2">
        <v>1</v>
      </c>
      <c r="G303" t="s">
        <v>58</v>
      </c>
      <c r="H303" t="s">
        <v>86</v>
      </c>
      <c r="I303" s="2" t="s">
        <v>87</v>
      </c>
      <c r="J303" s="2" t="s">
        <v>88</v>
      </c>
      <c r="K303" s="2">
        <v>3</v>
      </c>
      <c r="L303" s="2">
        <v>2013</v>
      </c>
      <c r="M303" t="s">
        <v>29</v>
      </c>
      <c r="N303" t="s">
        <v>65</v>
      </c>
      <c r="O303" t="s">
        <v>77</v>
      </c>
      <c r="P303">
        <v>14285</v>
      </c>
      <c r="Q303">
        <v>8</v>
      </c>
      <c r="R303" s="4">
        <f>(P303*(1+Q303/100))</f>
        <v>15427.800000000001</v>
      </c>
    </row>
    <row r="304" spans="1:18" x14ac:dyDescent="0.3">
      <c r="A304" t="s">
        <v>14</v>
      </c>
      <c r="B304" t="s">
        <v>30</v>
      </c>
      <c r="C304" t="s">
        <v>5</v>
      </c>
      <c r="D304" t="s">
        <v>44</v>
      </c>
      <c r="E304" t="str">
        <f>IF(F304&lt;5,"Beginner",IF(F304&lt;=10,"Mid-Level","Senior"))</f>
        <v>Senior</v>
      </c>
      <c r="F304" s="2">
        <v>19</v>
      </c>
      <c r="G304" t="s">
        <v>57</v>
      </c>
      <c r="H304" t="s">
        <v>86</v>
      </c>
      <c r="I304" s="2" t="s">
        <v>87</v>
      </c>
      <c r="J304" s="2" t="s">
        <v>88</v>
      </c>
      <c r="K304" s="2">
        <v>3</v>
      </c>
      <c r="L304" s="2">
        <v>2019</v>
      </c>
      <c r="M304" t="s">
        <v>28</v>
      </c>
      <c r="N304" t="s">
        <v>67</v>
      </c>
      <c r="O304" t="s">
        <v>74</v>
      </c>
      <c r="P304">
        <v>9668</v>
      </c>
      <c r="Q304">
        <v>17</v>
      </c>
      <c r="R304" s="4">
        <f>(P304*(1+Q304/100))</f>
        <v>11311.56</v>
      </c>
    </row>
    <row r="305" spans="1:18" x14ac:dyDescent="0.3">
      <c r="A305" t="s">
        <v>18</v>
      </c>
      <c r="B305" t="s">
        <v>24</v>
      </c>
      <c r="C305" t="s">
        <v>36</v>
      </c>
      <c r="D305" t="s">
        <v>41</v>
      </c>
      <c r="E305" t="str">
        <f>IF(F305&lt;5,"Beginner",IF(F305&lt;=10,"Mid-Level","Senior"))</f>
        <v>Senior</v>
      </c>
      <c r="F305" s="2">
        <v>18</v>
      </c>
      <c r="G305" t="s">
        <v>52</v>
      </c>
      <c r="H305" t="s">
        <v>93</v>
      </c>
      <c r="I305" s="2" t="s">
        <v>94</v>
      </c>
      <c r="J305" s="2" t="s">
        <v>95</v>
      </c>
      <c r="K305" s="2">
        <v>3</v>
      </c>
      <c r="L305" s="2">
        <v>2022</v>
      </c>
      <c r="M305" t="s">
        <v>26</v>
      </c>
      <c r="N305" t="s">
        <v>66</v>
      </c>
      <c r="O305" t="s">
        <v>76</v>
      </c>
      <c r="P305">
        <v>4726</v>
      </c>
      <c r="Q305">
        <v>7</v>
      </c>
      <c r="R305" s="4">
        <f>(P305*(1+Q305/100))</f>
        <v>5056.8200000000006</v>
      </c>
    </row>
    <row r="306" spans="1:18" x14ac:dyDescent="0.3">
      <c r="A306" t="s">
        <v>18</v>
      </c>
      <c r="B306" t="s">
        <v>28</v>
      </c>
      <c r="C306" t="s">
        <v>33</v>
      </c>
      <c r="D306" t="s">
        <v>45</v>
      </c>
      <c r="E306" t="str">
        <f>IF(F306&lt;5,"Beginner",IF(F306&lt;=10,"Mid-Level","Senior"))</f>
        <v>Senior</v>
      </c>
      <c r="F306" s="2">
        <v>14</v>
      </c>
      <c r="G306" t="s">
        <v>52</v>
      </c>
      <c r="H306" t="s">
        <v>93</v>
      </c>
      <c r="I306" s="2" t="s">
        <v>94</v>
      </c>
      <c r="J306" s="2" t="s">
        <v>95</v>
      </c>
      <c r="K306" s="2">
        <v>3</v>
      </c>
      <c r="L306" s="2">
        <v>2010</v>
      </c>
      <c r="M306" t="s">
        <v>27</v>
      </c>
      <c r="N306" t="s">
        <v>68</v>
      </c>
      <c r="O306" t="s">
        <v>77</v>
      </c>
      <c r="P306">
        <v>8470</v>
      </c>
      <c r="Q306">
        <v>6</v>
      </c>
      <c r="R306" s="4">
        <f>(P306*(1+Q306/100))</f>
        <v>8978.2000000000007</v>
      </c>
    </row>
    <row r="307" spans="1:18" x14ac:dyDescent="0.3">
      <c r="A307" t="s">
        <v>18</v>
      </c>
      <c r="B307" t="s">
        <v>22</v>
      </c>
      <c r="C307" t="s">
        <v>40</v>
      </c>
      <c r="D307" t="s">
        <v>46</v>
      </c>
      <c r="E307" t="str">
        <f>IF(F307&lt;5,"Beginner",IF(F307&lt;=10,"Mid-Level","Senior"))</f>
        <v>Senior</v>
      </c>
      <c r="F307" s="2">
        <v>13</v>
      </c>
      <c r="G307" t="s">
        <v>53</v>
      </c>
      <c r="H307" t="s">
        <v>93</v>
      </c>
      <c r="I307" s="2" t="s">
        <v>94</v>
      </c>
      <c r="J307" s="2" t="s">
        <v>95</v>
      </c>
      <c r="K307" s="2">
        <v>3</v>
      </c>
      <c r="L307" s="2">
        <v>2014</v>
      </c>
      <c r="M307" t="s">
        <v>23</v>
      </c>
      <c r="N307" t="s">
        <v>64</v>
      </c>
      <c r="O307" t="s">
        <v>73</v>
      </c>
      <c r="P307">
        <v>6904</v>
      </c>
      <c r="Q307">
        <v>7</v>
      </c>
      <c r="R307" s="4">
        <f>(P307*(1+Q307/100))</f>
        <v>7387.2800000000007</v>
      </c>
    </row>
    <row r="308" spans="1:18" x14ac:dyDescent="0.3">
      <c r="A308" t="s">
        <v>18</v>
      </c>
      <c r="B308" t="s">
        <v>29</v>
      </c>
      <c r="C308" t="s">
        <v>40</v>
      </c>
      <c r="D308" t="s">
        <v>45</v>
      </c>
      <c r="E308" t="str">
        <f>IF(F308&lt;5,"Beginner",IF(F308&lt;=10,"Mid-Level","Senior"))</f>
        <v>Senior</v>
      </c>
      <c r="F308" s="2">
        <v>13</v>
      </c>
      <c r="G308" t="s">
        <v>56</v>
      </c>
      <c r="H308" t="s">
        <v>93</v>
      </c>
      <c r="I308" s="2" t="s">
        <v>94</v>
      </c>
      <c r="J308" s="2" t="s">
        <v>95</v>
      </c>
      <c r="K308" s="2">
        <v>3</v>
      </c>
      <c r="L308" s="2">
        <v>2012</v>
      </c>
      <c r="M308" t="s">
        <v>30</v>
      </c>
      <c r="N308" t="s">
        <v>65</v>
      </c>
      <c r="O308" t="s">
        <v>75</v>
      </c>
      <c r="P308">
        <v>4982</v>
      </c>
      <c r="Q308">
        <v>5</v>
      </c>
      <c r="R308" s="4">
        <f>(P308*(1+Q308/100))</f>
        <v>5231.1000000000004</v>
      </c>
    </row>
    <row r="309" spans="1:18" x14ac:dyDescent="0.3">
      <c r="A309" t="s">
        <v>18</v>
      </c>
      <c r="B309" t="s">
        <v>26</v>
      </c>
      <c r="C309" t="s">
        <v>34</v>
      </c>
      <c r="D309" t="s">
        <v>49</v>
      </c>
      <c r="E309" t="str">
        <f>IF(F309&lt;5,"Beginner",IF(F309&lt;=10,"Mid-Level","Senior"))</f>
        <v>Mid-Level</v>
      </c>
      <c r="F309" s="2">
        <v>6</v>
      </c>
      <c r="G309" t="s">
        <v>51</v>
      </c>
      <c r="H309" t="s">
        <v>93</v>
      </c>
      <c r="I309" s="2" t="s">
        <v>94</v>
      </c>
      <c r="J309" s="2" t="s">
        <v>95</v>
      </c>
      <c r="K309" s="2">
        <v>3</v>
      </c>
      <c r="L309" s="2">
        <v>2014</v>
      </c>
      <c r="M309" t="s">
        <v>24</v>
      </c>
      <c r="N309" t="s">
        <v>63</v>
      </c>
      <c r="O309" t="s">
        <v>76</v>
      </c>
      <c r="P309">
        <v>5823</v>
      </c>
      <c r="Q309">
        <v>5</v>
      </c>
      <c r="R309" s="4">
        <f>(P309*(1+Q309/100))</f>
        <v>6114.1500000000005</v>
      </c>
    </row>
    <row r="310" spans="1:18" x14ac:dyDescent="0.3">
      <c r="A310" t="s">
        <v>18</v>
      </c>
      <c r="B310" t="s">
        <v>25</v>
      </c>
      <c r="C310" t="s">
        <v>5</v>
      </c>
      <c r="D310" t="s">
        <v>45</v>
      </c>
      <c r="E310" t="str">
        <f>IF(F310&lt;5,"Beginner",IF(F310&lt;=10,"Mid-Level","Senior"))</f>
        <v>Beginner</v>
      </c>
      <c r="F310" s="2">
        <v>2</v>
      </c>
      <c r="G310" t="s">
        <v>54</v>
      </c>
      <c r="H310" t="s">
        <v>93</v>
      </c>
      <c r="I310" s="2" t="s">
        <v>94</v>
      </c>
      <c r="J310" s="2" t="s">
        <v>95</v>
      </c>
      <c r="K310" s="2">
        <v>3</v>
      </c>
      <c r="L310" s="2">
        <v>2020</v>
      </c>
      <c r="M310" t="s">
        <v>25</v>
      </c>
      <c r="N310" t="s">
        <v>69</v>
      </c>
      <c r="O310" t="s">
        <v>77</v>
      </c>
      <c r="P310">
        <v>6246</v>
      </c>
      <c r="Q310">
        <v>6</v>
      </c>
      <c r="R310" s="4">
        <f>(P310*(1+Q310/100))</f>
        <v>6620.76</v>
      </c>
    </row>
    <row r="311" spans="1:18" x14ac:dyDescent="0.3">
      <c r="A311" t="s">
        <v>18</v>
      </c>
      <c r="B311" t="s">
        <v>27</v>
      </c>
      <c r="C311" t="s">
        <v>39</v>
      </c>
      <c r="D311" t="s">
        <v>42</v>
      </c>
      <c r="E311" t="str">
        <f>IF(F311&lt;5,"Beginner",IF(F311&lt;=10,"Mid-Level","Senior"))</f>
        <v>Senior</v>
      </c>
      <c r="F311" s="2">
        <v>15</v>
      </c>
      <c r="G311" t="s">
        <v>52</v>
      </c>
      <c r="H311" t="s">
        <v>93</v>
      </c>
      <c r="I311" s="2" t="s">
        <v>94</v>
      </c>
      <c r="J311" s="2" t="s">
        <v>95</v>
      </c>
      <c r="K311" s="2">
        <v>3</v>
      </c>
      <c r="L311" s="2">
        <v>2013</v>
      </c>
      <c r="M311" t="s">
        <v>30</v>
      </c>
      <c r="N311" t="s">
        <v>70</v>
      </c>
      <c r="O311" t="s">
        <v>77</v>
      </c>
      <c r="P311">
        <v>5326</v>
      </c>
      <c r="Q311">
        <v>8</v>
      </c>
      <c r="R311" s="4">
        <f>(P311*(1+Q311/100))</f>
        <v>5752.08</v>
      </c>
    </row>
    <row r="312" spans="1:18" x14ac:dyDescent="0.3">
      <c r="A312" t="s">
        <v>18</v>
      </c>
      <c r="B312" t="s">
        <v>23</v>
      </c>
      <c r="C312" t="s">
        <v>32</v>
      </c>
      <c r="D312" t="s">
        <v>50</v>
      </c>
      <c r="E312" t="str">
        <f>IF(F312&lt;5,"Beginner",IF(F312&lt;=10,"Mid-Level","Senior"))</f>
        <v>Senior</v>
      </c>
      <c r="F312" s="2">
        <v>11</v>
      </c>
      <c r="G312" t="s">
        <v>56</v>
      </c>
      <c r="H312" t="s">
        <v>93</v>
      </c>
      <c r="I312" s="2" t="s">
        <v>94</v>
      </c>
      <c r="J312" s="2" t="s">
        <v>95</v>
      </c>
      <c r="K312" s="2">
        <v>3</v>
      </c>
      <c r="L312" s="2">
        <v>2015</v>
      </c>
      <c r="M312" t="s">
        <v>24</v>
      </c>
      <c r="N312" t="s">
        <v>66</v>
      </c>
      <c r="O312" t="s">
        <v>76</v>
      </c>
      <c r="P312">
        <v>7321</v>
      </c>
      <c r="Q312">
        <v>7</v>
      </c>
      <c r="R312" s="4">
        <f>(P312*(1+Q312/100))</f>
        <v>7833.47</v>
      </c>
    </row>
    <row r="313" spans="1:18" x14ac:dyDescent="0.3">
      <c r="A313" t="s">
        <v>18</v>
      </c>
      <c r="B313" t="s">
        <v>29</v>
      </c>
      <c r="C313" t="s">
        <v>5</v>
      </c>
      <c r="D313" t="s">
        <v>44</v>
      </c>
      <c r="E313" t="str">
        <f>IF(F313&lt;5,"Beginner",IF(F313&lt;=10,"Mid-Level","Senior"))</f>
        <v>Beginner</v>
      </c>
      <c r="F313" s="2">
        <v>3</v>
      </c>
      <c r="G313" t="s">
        <v>52</v>
      </c>
      <c r="H313" t="s">
        <v>93</v>
      </c>
      <c r="I313" s="2" t="s">
        <v>94</v>
      </c>
      <c r="J313" s="2" t="s">
        <v>95</v>
      </c>
      <c r="K313" s="2">
        <v>3</v>
      </c>
      <c r="L313" s="2">
        <v>2019</v>
      </c>
      <c r="M313" t="s">
        <v>26</v>
      </c>
      <c r="N313" t="s">
        <v>72</v>
      </c>
      <c r="O313" t="s">
        <v>77</v>
      </c>
      <c r="P313">
        <v>3666</v>
      </c>
      <c r="Q313">
        <v>6</v>
      </c>
      <c r="R313" s="4">
        <f>(P313*(1+Q313/100))</f>
        <v>3885.96</v>
      </c>
    </row>
    <row r="314" spans="1:18" x14ac:dyDescent="0.3">
      <c r="A314" t="s">
        <v>18</v>
      </c>
      <c r="B314" t="s">
        <v>29</v>
      </c>
      <c r="C314" t="s">
        <v>40</v>
      </c>
      <c r="D314" t="s">
        <v>49</v>
      </c>
      <c r="E314" t="str">
        <f>IF(F314&lt;5,"Beginner",IF(F314&lt;=10,"Mid-Level","Senior"))</f>
        <v>Senior</v>
      </c>
      <c r="F314" s="2">
        <v>18</v>
      </c>
      <c r="G314" t="s">
        <v>53</v>
      </c>
      <c r="H314" t="s">
        <v>93</v>
      </c>
      <c r="I314" s="2" t="s">
        <v>94</v>
      </c>
      <c r="J314" s="2" t="s">
        <v>95</v>
      </c>
      <c r="K314" s="2">
        <v>3</v>
      </c>
      <c r="L314" s="2">
        <v>2023</v>
      </c>
      <c r="M314" t="s">
        <v>24</v>
      </c>
      <c r="N314" t="s">
        <v>68</v>
      </c>
      <c r="O314" t="s">
        <v>75</v>
      </c>
      <c r="P314">
        <v>6634</v>
      </c>
      <c r="Q314">
        <v>9</v>
      </c>
      <c r="R314" s="4">
        <f>(P314*(1+Q314/100))</f>
        <v>7231.06</v>
      </c>
    </row>
    <row r="315" spans="1:18" x14ac:dyDescent="0.3">
      <c r="A315" t="s">
        <v>18</v>
      </c>
      <c r="B315" t="s">
        <v>30</v>
      </c>
      <c r="C315" t="s">
        <v>36</v>
      </c>
      <c r="D315" t="s">
        <v>48</v>
      </c>
      <c r="E315" t="str">
        <f>IF(F315&lt;5,"Beginner",IF(F315&lt;=10,"Mid-Level","Senior"))</f>
        <v>Mid-Level</v>
      </c>
      <c r="F315" s="2">
        <v>8</v>
      </c>
      <c r="G315" t="s">
        <v>51</v>
      </c>
      <c r="H315" t="s">
        <v>93</v>
      </c>
      <c r="I315" s="2" t="s">
        <v>94</v>
      </c>
      <c r="J315" s="2" t="s">
        <v>95</v>
      </c>
      <c r="K315" s="2">
        <v>3</v>
      </c>
      <c r="L315" s="2">
        <v>2025</v>
      </c>
      <c r="M315" t="s">
        <v>26</v>
      </c>
      <c r="N315" t="s">
        <v>65</v>
      </c>
      <c r="O315" t="s">
        <v>74</v>
      </c>
      <c r="P315">
        <v>4585</v>
      </c>
      <c r="Q315">
        <v>4</v>
      </c>
      <c r="R315" s="4">
        <f>(P315*(1+Q315/100))</f>
        <v>4768.4000000000005</v>
      </c>
    </row>
    <row r="316" spans="1:18" x14ac:dyDescent="0.3">
      <c r="A316" t="s">
        <v>18</v>
      </c>
      <c r="B316" t="s">
        <v>23</v>
      </c>
      <c r="C316" t="s">
        <v>34</v>
      </c>
      <c r="D316" t="s">
        <v>43</v>
      </c>
      <c r="E316" t="str">
        <f>IF(F316&lt;5,"Beginner",IF(F316&lt;=10,"Mid-Level","Senior"))</f>
        <v>Mid-Level</v>
      </c>
      <c r="F316" s="2">
        <v>10</v>
      </c>
      <c r="G316" t="s">
        <v>59</v>
      </c>
      <c r="H316" t="s">
        <v>93</v>
      </c>
      <c r="I316" s="2" t="s">
        <v>94</v>
      </c>
      <c r="J316" s="2" t="s">
        <v>95</v>
      </c>
      <c r="K316" s="2">
        <v>3</v>
      </c>
      <c r="L316" s="2">
        <v>2011</v>
      </c>
      <c r="M316" t="s">
        <v>23</v>
      </c>
      <c r="N316" t="s">
        <v>65</v>
      </c>
      <c r="O316" t="s">
        <v>75</v>
      </c>
      <c r="P316">
        <v>3740</v>
      </c>
      <c r="Q316">
        <v>7</v>
      </c>
      <c r="R316" s="4">
        <f>(P316*(1+Q316/100))</f>
        <v>4001.8</v>
      </c>
    </row>
    <row r="317" spans="1:18" x14ac:dyDescent="0.3">
      <c r="A317" t="s">
        <v>18</v>
      </c>
      <c r="B317" t="s">
        <v>27</v>
      </c>
      <c r="C317" t="s">
        <v>37</v>
      </c>
      <c r="D317" t="s">
        <v>47</v>
      </c>
      <c r="E317" t="str">
        <f>IF(F317&lt;5,"Beginner",IF(F317&lt;=10,"Mid-Level","Senior"))</f>
        <v>Senior</v>
      </c>
      <c r="F317" s="2">
        <v>14</v>
      </c>
      <c r="G317" t="s">
        <v>56</v>
      </c>
      <c r="H317" t="s">
        <v>93</v>
      </c>
      <c r="I317" s="2" t="s">
        <v>94</v>
      </c>
      <c r="J317" s="2" t="s">
        <v>95</v>
      </c>
      <c r="K317" s="2">
        <v>3</v>
      </c>
      <c r="L317" s="2">
        <v>2023</v>
      </c>
      <c r="M317" t="s">
        <v>30</v>
      </c>
      <c r="N317" t="s">
        <v>64</v>
      </c>
      <c r="O317" t="s">
        <v>75</v>
      </c>
      <c r="P317">
        <v>3346</v>
      </c>
      <c r="Q317">
        <v>4</v>
      </c>
      <c r="R317" s="4">
        <f>(P317*(1+Q317/100))</f>
        <v>3479.84</v>
      </c>
    </row>
    <row r="318" spans="1:18" x14ac:dyDescent="0.3">
      <c r="A318" t="s">
        <v>18</v>
      </c>
      <c r="B318" t="s">
        <v>27</v>
      </c>
      <c r="C318" t="s">
        <v>38</v>
      </c>
      <c r="D318" t="s">
        <v>43</v>
      </c>
      <c r="E318" t="str">
        <f>IF(F318&lt;5,"Beginner",IF(F318&lt;=10,"Mid-Level","Senior"))</f>
        <v>Senior</v>
      </c>
      <c r="F318" s="2">
        <v>13</v>
      </c>
      <c r="G318" t="s">
        <v>53</v>
      </c>
      <c r="H318" t="s">
        <v>93</v>
      </c>
      <c r="I318" s="2" t="s">
        <v>94</v>
      </c>
      <c r="J318" s="2" t="s">
        <v>95</v>
      </c>
      <c r="K318" s="2">
        <v>3</v>
      </c>
      <c r="L318" s="2">
        <v>2015</v>
      </c>
      <c r="M318" t="s">
        <v>28</v>
      </c>
      <c r="N318" t="s">
        <v>67</v>
      </c>
      <c r="O318" t="s">
        <v>75</v>
      </c>
      <c r="P318">
        <v>3774</v>
      </c>
      <c r="Q318">
        <v>9</v>
      </c>
      <c r="R318" s="4">
        <f>(P318*(1+Q318/100))</f>
        <v>4113.66</v>
      </c>
    </row>
    <row r="319" spans="1:18" x14ac:dyDescent="0.3">
      <c r="A319" t="s">
        <v>18</v>
      </c>
      <c r="B319" t="s">
        <v>22</v>
      </c>
      <c r="C319" t="s">
        <v>5</v>
      </c>
      <c r="D319" t="s">
        <v>47</v>
      </c>
      <c r="E319" t="str">
        <f>IF(F319&lt;5,"Beginner",IF(F319&lt;=10,"Mid-Level","Senior"))</f>
        <v>Beginner</v>
      </c>
      <c r="F319" s="2">
        <v>2</v>
      </c>
      <c r="G319" t="s">
        <v>53</v>
      </c>
      <c r="H319" t="s">
        <v>93</v>
      </c>
      <c r="I319" s="2" t="s">
        <v>94</v>
      </c>
      <c r="J319" s="2" t="s">
        <v>95</v>
      </c>
      <c r="K319" s="2">
        <v>3</v>
      </c>
      <c r="L319" s="2">
        <v>2021</v>
      </c>
      <c r="M319" t="s">
        <v>24</v>
      </c>
      <c r="N319" t="s">
        <v>67</v>
      </c>
      <c r="O319" t="s">
        <v>77</v>
      </c>
      <c r="P319">
        <v>4863</v>
      </c>
      <c r="Q319">
        <v>6</v>
      </c>
      <c r="R319" s="4">
        <f>(P319*(1+Q319/100))</f>
        <v>5154.7800000000007</v>
      </c>
    </row>
    <row r="320" spans="1:18" x14ac:dyDescent="0.3">
      <c r="A320" t="s">
        <v>18</v>
      </c>
      <c r="B320" t="s">
        <v>31</v>
      </c>
      <c r="C320" t="s">
        <v>35</v>
      </c>
      <c r="D320" t="s">
        <v>47</v>
      </c>
      <c r="E320" t="str">
        <f>IF(F320&lt;5,"Beginner",IF(F320&lt;=10,"Mid-Level","Senior"))</f>
        <v>Senior</v>
      </c>
      <c r="F320" s="2">
        <v>20</v>
      </c>
      <c r="G320" t="s">
        <v>57</v>
      </c>
      <c r="H320" t="s">
        <v>93</v>
      </c>
      <c r="I320" s="2" t="s">
        <v>94</v>
      </c>
      <c r="J320" s="2" t="s">
        <v>95</v>
      </c>
      <c r="K320" s="2">
        <v>3</v>
      </c>
      <c r="L320" s="2">
        <v>2021</v>
      </c>
      <c r="M320" t="s">
        <v>27</v>
      </c>
      <c r="N320" t="s">
        <v>71</v>
      </c>
      <c r="O320" t="s">
        <v>74</v>
      </c>
      <c r="P320">
        <v>3838</v>
      </c>
      <c r="Q320">
        <v>7</v>
      </c>
      <c r="R320" s="4">
        <f>(P320*(1+Q320/100))</f>
        <v>4106.66</v>
      </c>
    </row>
    <row r="321" spans="1:18" x14ac:dyDescent="0.3">
      <c r="A321" t="s">
        <v>18</v>
      </c>
      <c r="B321" t="s">
        <v>29</v>
      </c>
      <c r="C321" t="s">
        <v>33</v>
      </c>
      <c r="D321" t="s">
        <v>48</v>
      </c>
      <c r="E321" t="str">
        <f>IF(F321&lt;5,"Beginner",IF(F321&lt;=10,"Mid-Level","Senior"))</f>
        <v>Mid-Level</v>
      </c>
      <c r="F321" s="2">
        <v>7</v>
      </c>
      <c r="G321" t="s">
        <v>54</v>
      </c>
      <c r="H321" t="s">
        <v>93</v>
      </c>
      <c r="I321" s="2" t="s">
        <v>94</v>
      </c>
      <c r="J321" s="2" t="s">
        <v>95</v>
      </c>
      <c r="K321" s="2">
        <v>3</v>
      </c>
      <c r="L321" s="2">
        <v>2016</v>
      </c>
      <c r="M321" t="s">
        <v>25</v>
      </c>
      <c r="N321" t="s">
        <v>63</v>
      </c>
      <c r="O321" t="s">
        <v>76</v>
      </c>
      <c r="P321">
        <v>6219</v>
      </c>
      <c r="Q321">
        <v>4</v>
      </c>
      <c r="R321" s="4">
        <f>(P321*(1+Q321/100))</f>
        <v>6467.76</v>
      </c>
    </row>
    <row r="322" spans="1:18" x14ac:dyDescent="0.3">
      <c r="A322" t="s">
        <v>18</v>
      </c>
      <c r="B322" t="s">
        <v>24</v>
      </c>
      <c r="C322" t="s">
        <v>36</v>
      </c>
      <c r="D322" t="s">
        <v>46</v>
      </c>
      <c r="E322" t="str">
        <f>IF(F322&lt;5,"Beginner",IF(F322&lt;=10,"Mid-Level","Senior"))</f>
        <v>Beginner</v>
      </c>
      <c r="F322" s="2">
        <v>3</v>
      </c>
      <c r="G322" t="s">
        <v>51</v>
      </c>
      <c r="H322" t="s">
        <v>93</v>
      </c>
      <c r="I322" s="2" t="s">
        <v>94</v>
      </c>
      <c r="J322" s="2" t="s">
        <v>95</v>
      </c>
      <c r="K322" s="2">
        <v>3</v>
      </c>
      <c r="L322" s="2">
        <v>2025</v>
      </c>
      <c r="M322" t="s">
        <v>23</v>
      </c>
      <c r="N322" t="s">
        <v>72</v>
      </c>
      <c r="O322" t="s">
        <v>76</v>
      </c>
      <c r="P322">
        <v>6909</v>
      </c>
      <c r="Q322">
        <v>5</v>
      </c>
      <c r="R322" s="4">
        <f>(P322*(1+Q322/100))</f>
        <v>7254.4500000000007</v>
      </c>
    </row>
    <row r="323" spans="1:18" x14ac:dyDescent="0.3">
      <c r="A323" t="s">
        <v>18</v>
      </c>
      <c r="B323" t="s">
        <v>23</v>
      </c>
      <c r="C323" t="s">
        <v>35</v>
      </c>
      <c r="D323" t="s">
        <v>47</v>
      </c>
      <c r="E323" t="str">
        <f>IF(F323&lt;5,"Beginner",IF(F323&lt;=10,"Mid-Level","Senior"))</f>
        <v>Mid-Level</v>
      </c>
      <c r="F323" s="2">
        <v>9</v>
      </c>
      <c r="G323" t="s">
        <v>59</v>
      </c>
      <c r="H323" t="s">
        <v>93</v>
      </c>
      <c r="I323" s="2" t="s">
        <v>94</v>
      </c>
      <c r="J323" s="2" t="s">
        <v>95</v>
      </c>
      <c r="K323" s="2">
        <v>3</v>
      </c>
      <c r="L323" s="2">
        <v>2025</v>
      </c>
      <c r="M323" t="s">
        <v>26</v>
      </c>
      <c r="N323" t="s">
        <v>70</v>
      </c>
      <c r="O323" t="s">
        <v>74</v>
      </c>
      <c r="P323">
        <v>6963</v>
      </c>
      <c r="Q323">
        <v>9</v>
      </c>
      <c r="R323" s="4">
        <f>(P323*(1+Q323/100))</f>
        <v>7589.670000000001</v>
      </c>
    </row>
    <row r="324" spans="1:18" x14ac:dyDescent="0.3">
      <c r="A324" t="s">
        <v>18</v>
      </c>
      <c r="B324" t="s">
        <v>27</v>
      </c>
      <c r="C324" t="s">
        <v>40</v>
      </c>
      <c r="D324" t="s">
        <v>46</v>
      </c>
      <c r="E324" t="str">
        <f>IF(F324&lt;5,"Beginner",IF(F324&lt;=10,"Mid-Level","Senior"))</f>
        <v>Mid-Level</v>
      </c>
      <c r="F324" s="2">
        <v>8</v>
      </c>
      <c r="G324" t="s">
        <v>55</v>
      </c>
      <c r="H324" t="s">
        <v>93</v>
      </c>
      <c r="I324" s="2" t="s">
        <v>94</v>
      </c>
      <c r="J324" s="2" t="s">
        <v>95</v>
      </c>
      <c r="K324" s="2">
        <v>3</v>
      </c>
      <c r="L324" s="2">
        <v>2021</v>
      </c>
      <c r="M324" t="s">
        <v>27</v>
      </c>
      <c r="N324" t="s">
        <v>70</v>
      </c>
      <c r="O324" t="s">
        <v>74</v>
      </c>
      <c r="P324">
        <v>6018</v>
      </c>
      <c r="Q324">
        <v>7</v>
      </c>
      <c r="R324" s="4">
        <f>(P324*(1+Q324/100))</f>
        <v>6439.26</v>
      </c>
    </row>
    <row r="325" spans="1:18" x14ac:dyDescent="0.3">
      <c r="A325" t="s">
        <v>15</v>
      </c>
      <c r="B325" t="s">
        <v>22</v>
      </c>
      <c r="C325" t="s">
        <v>5</v>
      </c>
      <c r="D325" t="s">
        <v>45</v>
      </c>
      <c r="E325" t="str">
        <f>IF(F325&lt;5,"Beginner",IF(F325&lt;=10,"Mid-Level","Senior"))</f>
        <v>Beginner</v>
      </c>
      <c r="F325" s="2">
        <v>3</v>
      </c>
      <c r="G325" t="s">
        <v>55</v>
      </c>
      <c r="H325" t="s">
        <v>109</v>
      </c>
      <c r="I325" s="2" t="s">
        <v>110</v>
      </c>
      <c r="J325" s="2" t="s">
        <v>111</v>
      </c>
      <c r="K325" s="2">
        <v>3</v>
      </c>
      <c r="L325" s="2">
        <v>2013</v>
      </c>
      <c r="M325" t="s">
        <v>24</v>
      </c>
      <c r="N325" t="s">
        <v>69</v>
      </c>
      <c r="O325" t="s">
        <v>73</v>
      </c>
      <c r="P325">
        <v>9944</v>
      </c>
      <c r="Q325">
        <v>13</v>
      </c>
      <c r="R325" s="4">
        <f>(P325*(1+Q325/100))</f>
        <v>11236.72</v>
      </c>
    </row>
    <row r="326" spans="1:18" x14ac:dyDescent="0.3">
      <c r="A326" t="s">
        <v>15</v>
      </c>
      <c r="B326" t="s">
        <v>23</v>
      </c>
      <c r="C326" t="s">
        <v>34</v>
      </c>
      <c r="D326" t="s">
        <v>48</v>
      </c>
      <c r="E326" t="str">
        <f>IF(F326&lt;5,"Beginner",IF(F326&lt;=10,"Mid-Level","Senior"))</f>
        <v>Mid-Level</v>
      </c>
      <c r="F326" s="2">
        <v>6</v>
      </c>
      <c r="G326" t="s">
        <v>52</v>
      </c>
      <c r="H326" t="s">
        <v>109</v>
      </c>
      <c r="I326" s="2" t="s">
        <v>110</v>
      </c>
      <c r="J326" s="2" t="s">
        <v>111</v>
      </c>
      <c r="K326" s="2">
        <v>3</v>
      </c>
      <c r="L326" s="2">
        <v>2024</v>
      </c>
      <c r="M326" t="s">
        <v>27</v>
      </c>
      <c r="N326" t="s">
        <v>68</v>
      </c>
      <c r="O326" t="s">
        <v>77</v>
      </c>
      <c r="P326">
        <v>14556</v>
      </c>
      <c r="Q326">
        <v>17</v>
      </c>
      <c r="R326" s="4">
        <f>(P326*(1+Q326/100))</f>
        <v>17030.52</v>
      </c>
    </row>
    <row r="327" spans="1:18" x14ac:dyDescent="0.3">
      <c r="A327" t="s">
        <v>15</v>
      </c>
      <c r="B327" t="s">
        <v>30</v>
      </c>
      <c r="C327" t="s">
        <v>35</v>
      </c>
      <c r="D327" t="s">
        <v>47</v>
      </c>
      <c r="E327" t="str">
        <f>IF(F327&lt;5,"Beginner",IF(F327&lt;=10,"Mid-Level","Senior"))</f>
        <v>Senior</v>
      </c>
      <c r="F327" s="2">
        <v>16</v>
      </c>
      <c r="G327" t="s">
        <v>52</v>
      </c>
      <c r="H327" t="s">
        <v>109</v>
      </c>
      <c r="I327" s="2" t="s">
        <v>110</v>
      </c>
      <c r="J327" s="2" t="s">
        <v>111</v>
      </c>
      <c r="K327" s="2">
        <v>3</v>
      </c>
      <c r="L327" s="2">
        <v>2019</v>
      </c>
      <c r="M327" t="s">
        <v>27</v>
      </c>
      <c r="N327" t="s">
        <v>70</v>
      </c>
      <c r="O327" t="s">
        <v>77</v>
      </c>
      <c r="P327">
        <v>14663</v>
      </c>
      <c r="Q327">
        <v>11</v>
      </c>
      <c r="R327" s="4">
        <f>(P327*(1+Q327/100))</f>
        <v>16275.930000000002</v>
      </c>
    </row>
    <row r="328" spans="1:18" x14ac:dyDescent="0.3">
      <c r="A328" t="s">
        <v>15</v>
      </c>
      <c r="B328" t="s">
        <v>24</v>
      </c>
      <c r="C328" t="s">
        <v>33</v>
      </c>
      <c r="D328" t="s">
        <v>44</v>
      </c>
      <c r="E328" t="str">
        <f>IF(F328&lt;5,"Beginner",IF(F328&lt;=10,"Mid-Level","Senior"))</f>
        <v>Mid-Level</v>
      </c>
      <c r="F328" s="2">
        <v>9</v>
      </c>
      <c r="G328" t="s">
        <v>58</v>
      </c>
      <c r="H328" t="s">
        <v>109</v>
      </c>
      <c r="I328" s="2" t="s">
        <v>110</v>
      </c>
      <c r="J328" s="2" t="s">
        <v>111</v>
      </c>
      <c r="K328" s="2">
        <v>3</v>
      </c>
      <c r="L328" s="2">
        <v>2016</v>
      </c>
      <c r="M328" t="s">
        <v>24</v>
      </c>
      <c r="N328" t="s">
        <v>64</v>
      </c>
      <c r="O328" t="s">
        <v>73</v>
      </c>
      <c r="P328">
        <v>12237</v>
      </c>
      <c r="Q328">
        <v>18</v>
      </c>
      <c r="R328" s="4">
        <f>(P328*(1+Q328/100))</f>
        <v>14439.66</v>
      </c>
    </row>
    <row r="329" spans="1:18" x14ac:dyDescent="0.3">
      <c r="A329" t="s">
        <v>15</v>
      </c>
      <c r="B329" t="s">
        <v>27</v>
      </c>
      <c r="C329" t="s">
        <v>32</v>
      </c>
      <c r="D329" t="s">
        <v>45</v>
      </c>
      <c r="E329" t="str">
        <f>IF(F329&lt;5,"Beginner",IF(F329&lt;=10,"Mid-Level","Senior"))</f>
        <v>Senior</v>
      </c>
      <c r="F329" s="2">
        <v>14</v>
      </c>
      <c r="G329" t="s">
        <v>54</v>
      </c>
      <c r="H329" t="s">
        <v>109</v>
      </c>
      <c r="I329" s="2" t="s">
        <v>110</v>
      </c>
      <c r="J329" s="2" t="s">
        <v>111</v>
      </c>
      <c r="K329" s="2">
        <v>3</v>
      </c>
      <c r="L329" s="2">
        <v>2022</v>
      </c>
      <c r="M329" t="s">
        <v>31</v>
      </c>
      <c r="N329" t="s">
        <v>72</v>
      </c>
      <c r="O329" t="s">
        <v>75</v>
      </c>
      <c r="P329">
        <v>12061</v>
      </c>
      <c r="Q329">
        <v>14</v>
      </c>
      <c r="R329" s="4">
        <f>(P329*(1+Q329/100))</f>
        <v>13749.54</v>
      </c>
    </row>
    <row r="330" spans="1:18" x14ac:dyDescent="0.3">
      <c r="A330" t="s">
        <v>15</v>
      </c>
      <c r="B330" t="s">
        <v>25</v>
      </c>
      <c r="C330" t="s">
        <v>33</v>
      </c>
      <c r="D330" t="s">
        <v>44</v>
      </c>
      <c r="E330" t="str">
        <f>IF(F330&lt;5,"Beginner",IF(F330&lt;=10,"Mid-Level","Senior"))</f>
        <v>Senior</v>
      </c>
      <c r="F330" s="2">
        <v>14</v>
      </c>
      <c r="G330" t="s">
        <v>51</v>
      </c>
      <c r="H330" t="s">
        <v>109</v>
      </c>
      <c r="I330" s="2" t="s">
        <v>110</v>
      </c>
      <c r="J330" s="2" t="s">
        <v>111</v>
      </c>
      <c r="K330" s="2">
        <v>3</v>
      </c>
      <c r="L330" s="2">
        <v>2016</v>
      </c>
      <c r="M330" t="s">
        <v>30</v>
      </c>
      <c r="N330" t="s">
        <v>66</v>
      </c>
      <c r="O330" t="s">
        <v>74</v>
      </c>
      <c r="P330">
        <v>10728</v>
      </c>
      <c r="Q330">
        <v>11</v>
      </c>
      <c r="R330" s="4">
        <f>(P330*(1+Q330/100))</f>
        <v>11908.080000000002</v>
      </c>
    </row>
    <row r="331" spans="1:18" x14ac:dyDescent="0.3">
      <c r="A331" t="s">
        <v>15</v>
      </c>
      <c r="B331" t="s">
        <v>27</v>
      </c>
      <c r="C331" t="s">
        <v>38</v>
      </c>
      <c r="D331" t="s">
        <v>45</v>
      </c>
      <c r="E331" t="str">
        <f>IF(F331&lt;5,"Beginner",IF(F331&lt;=10,"Mid-Level","Senior"))</f>
        <v>Mid-Level</v>
      </c>
      <c r="F331" s="2">
        <v>7</v>
      </c>
      <c r="G331" t="s">
        <v>53</v>
      </c>
      <c r="H331" t="s">
        <v>109</v>
      </c>
      <c r="I331" s="2" t="s">
        <v>110</v>
      </c>
      <c r="J331" s="2" t="s">
        <v>111</v>
      </c>
      <c r="K331" s="2">
        <v>3</v>
      </c>
      <c r="L331" s="2">
        <v>2012</v>
      </c>
      <c r="M331" t="s">
        <v>31</v>
      </c>
      <c r="N331" t="s">
        <v>68</v>
      </c>
      <c r="O331" t="s">
        <v>77</v>
      </c>
      <c r="P331">
        <v>10789</v>
      </c>
      <c r="Q331">
        <v>15</v>
      </c>
      <c r="R331" s="4">
        <f>(P331*(1+Q331/100))</f>
        <v>12407.349999999999</v>
      </c>
    </row>
    <row r="332" spans="1:18" x14ac:dyDescent="0.3">
      <c r="A332" t="s">
        <v>15</v>
      </c>
      <c r="B332" t="s">
        <v>26</v>
      </c>
      <c r="C332" t="s">
        <v>5</v>
      </c>
      <c r="D332" t="s">
        <v>49</v>
      </c>
      <c r="E332" t="str">
        <f>IF(F332&lt;5,"Beginner",IF(F332&lt;=10,"Mid-Level","Senior"))</f>
        <v>Senior</v>
      </c>
      <c r="F332" s="2">
        <v>15</v>
      </c>
      <c r="G332" t="s">
        <v>53</v>
      </c>
      <c r="H332" t="s">
        <v>109</v>
      </c>
      <c r="I332" s="2" t="s">
        <v>110</v>
      </c>
      <c r="J332" s="2" t="s">
        <v>111</v>
      </c>
      <c r="K332" s="2">
        <v>3</v>
      </c>
      <c r="L332" s="2">
        <v>2014</v>
      </c>
      <c r="M332" t="s">
        <v>24</v>
      </c>
      <c r="N332" t="s">
        <v>72</v>
      </c>
      <c r="O332" t="s">
        <v>74</v>
      </c>
      <c r="P332">
        <v>9763</v>
      </c>
      <c r="Q332">
        <v>9</v>
      </c>
      <c r="R332" s="4">
        <f>(P332*(1+Q332/100))</f>
        <v>10641.67</v>
      </c>
    </row>
    <row r="333" spans="1:18" x14ac:dyDescent="0.3">
      <c r="A333" t="s">
        <v>15</v>
      </c>
      <c r="B333" t="s">
        <v>30</v>
      </c>
      <c r="C333" t="s">
        <v>34</v>
      </c>
      <c r="D333" t="s">
        <v>42</v>
      </c>
      <c r="E333" t="str">
        <f>IF(F333&lt;5,"Beginner",IF(F333&lt;=10,"Mid-Level","Senior"))</f>
        <v>Beginner</v>
      </c>
      <c r="F333" s="2">
        <v>2</v>
      </c>
      <c r="G333" t="s">
        <v>58</v>
      </c>
      <c r="H333" t="s">
        <v>109</v>
      </c>
      <c r="I333" s="2" t="s">
        <v>110</v>
      </c>
      <c r="J333" s="2" t="s">
        <v>111</v>
      </c>
      <c r="K333" s="2">
        <v>3</v>
      </c>
      <c r="L333" s="2">
        <v>2023</v>
      </c>
      <c r="M333" t="s">
        <v>30</v>
      </c>
      <c r="N333" t="s">
        <v>68</v>
      </c>
      <c r="O333" t="s">
        <v>76</v>
      </c>
      <c r="P333">
        <v>12305</v>
      </c>
      <c r="Q333">
        <v>12</v>
      </c>
      <c r="R333" s="4">
        <f>(P333*(1+Q333/100))</f>
        <v>13781.600000000002</v>
      </c>
    </row>
    <row r="334" spans="1:18" x14ac:dyDescent="0.3">
      <c r="A334" t="s">
        <v>15</v>
      </c>
      <c r="B334" t="s">
        <v>22</v>
      </c>
      <c r="C334" t="s">
        <v>40</v>
      </c>
      <c r="D334" t="s">
        <v>46</v>
      </c>
      <c r="E334" t="str">
        <f>IF(F334&lt;5,"Beginner",IF(F334&lt;=10,"Mid-Level","Senior"))</f>
        <v>Senior</v>
      </c>
      <c r="F334" s="2">
        <v>20</v>
      </c>
      <c r="G334" t="s">
        <v>55</v>
      </c>
      <c r="H334" t="s">
        <v>109</v>
      </c>
      <c r="I334" s="2" t="s">
        <v>110</v>
      </c>
      <c r="J334" s="2" t="s">
        <v>111</v>
      </c>
      <c r="K334" s="2">
        <v>3</v>
      </c>
      <c r="L334" s="2">
        <v>2025</v>
      </c>
      <c r="M334" t="s">
        <v>27</v>
      </c>
      <c r="N334" t="s">
        <v>67</v>
      </c>
      <c r="O334" t="s">
        <v>75</v>
      </c>
      <c r="P334">
        <v>9578</v>
      </c>
      <c r="Q334">
        <v>12</v>
      </c>
      <c r="R334" s="4">
        <f>(P334*(1+Q334/100))</f>
        <v>10727.36</v>
      </c>
    </row>
    <row r="335" spans="1:18" x14ac:dyDescent="0.3">
      <c r="A335" t="s">
        <v>15</v>
      </c>
      <c r="B335" t="s">
        <v>29</v>
      </c>
      <c r="C335" t="s">
        <v>38</v>
      </c>
      <c r="D335" t="s">
        <v>46</v>
      </c>
      <c r="E335" t="str">
        <f>IF(F335&lt;5,"Beginner",IF(F335&lt;=10,"Mid-Level","Senior"))</f>
        <v>Mid-Level</v>
      </c>
      <c r="F335" s="2">
        <v>7</v>
      </c>
      <c r="G335" t="s">
        <v>58</v>
      </c>
      <c r="H335" t="s">
        <v>109</v>
      </c>
      <c r="I335" s="2" t="s">
        <v>110</v>
      </c>
      <c r="J335" s="2" t="s">
        <v>111</v>
      </c>
      <c r="K335" s="2">
        <v>3</v>
      </c>
      <c r="L335" s="2">
        <v>2022</v>
      </c>
      <c r="M335" t="s">
        <v>27</v>
      </c>
      <c r="N335" t="s">
        <v>69</v>
      </c>
      <c r="O335" t="s">
        <v>73</v>
      </c>
      <c r="P335">
        <v>11676</v>
      </c>
      <c r="Q335">
        <v>14</v>
      </c>
      <c r="R335" s="4">
        <f>(P335*(1+Q335/100))</f>
        <v>13310.640000000001</v>
      </c>
    </row>
    <row r="336" spans="1:18" x14ac:dyDescent="0.3">
      <c r="A336" t="s">
        <v>15</v>
      </c>
      <c r="B336" t="s">
        <v>27</v>
      </c>
      <c r="C336" t="s">
        <v>5</v>
      </c>
      <c r="D336" t="s">
        <v>41</v>
      </c>
      <c r="E336" t="str">
        <f>IF(F336&lt;5,"Beginner",IF(F336&lt;=10,"Mid-Level","Senior"))</f>
        <v>Senior</v>
      </c>
      <c r="F336" s="2">
        <v>14</v>
      </c>
      <c r="G336" t="s">
        <v>51</v>
      </c>
      <c r="H336" t="s">
        <v>109</v>
      </c>
      <c r="I336" s="2" t="s">
        <v>110</v>
      </c>
      <c r="J336" s="2" t="s">
        <v>111</v>
      </c>
      <c r="K336" s="2">
        <v>3</v>
      </c>
      <c r="L336" s="2">
        <v>2010</v>
      </c>
      <c r="M336" t="s">
        <v>22</v>
      </c>
      <c r="N336" t="s">
        <v>66</v>
      </c>
      <c r="O336" t="s">
        <v>73</v>
      </c>
      <c r="P336">
        <v>8317</v>
      </c>
      <c r="Q336">
        <v>13</v>
      </c>
      <c r="R336" s="4">
        <f>(P336*(1+Q336/100))</f>
        <v>9398.2099999999991</v>
      </c>
    </row>
    <row r="337" spans="1:18" x14ac:dyDescent="0.3">
      <c r="A337" t="s">
        <v>15</v>
      </c>
      <c r="B337" t="s">
        <v>26</v>
      </c>
      <c r="C337" t="s">
        <v>5</v>
      </c>
      <c r="D337" t="s">
        <v>48</v>
      </c>
      <c r="E337" t="str">
        <f>IF(F337&lt;5,"Beginner",IF(F337&lt;=10,"Mid-Level","Senior"))</f>
        <v>Beginner</v>
      </c>
      <c r="F337" s="2">
        <v>4</v>
      </c>
      <c r="G337" t="s">
        <v>51</v>
      </c>
      <c r="H337" t="s">
        <v>109</v>
      </c>
      <c r="I337" s="2" t="s">
        <v>110</v>
      </c>
      <c r="J337" s="2" t="s">
        <v>111</v>
      </c>
      <c r="K337" s="2">
        <v>3</v>
      </c>
      <c r="L337" s="2">
        <v>2016</v>
      </c>
      <c r="M337" t="s">
        <v>25</v>
      </c>
      <c r="N337" t="s">
        <v>67</v>
      </c>
      <c r="O337" t="s">
        <v>75</v>
      </c>
      <c r="P337">
        <v>10670</v>
      </c>
      <c r="Q337">
        <v>11</v>
      </c>
      <c r="R337" s="4">
        <f>(P337*(1+Q337/100))</f>
        <v>11843.7</v>
      </c>
    </row>
    <row r="338" spans="1:18" x14ac:dyDescent="0.3">
      <c r="A338" t="s">
        <v>15</v>
      </c>
      <c r="B338" t="s">
        <v>22</v>
      </c>
      <c r="C338" t="s">
        <v>34</v>
      </c>
      <c r="D338" t="s">
        <v>43</v>
      </c>
      <c r="E338" t="str">
        <f>IF(F338&lt;5,"Beginner",IF(F338&lt;=10,"Mid-Level","Senior"))</f>
        <v>Mid-Level</v>
      </c>
      <c r="F338" s="2">
        <v>6</v>
      </c>
      <c r="G338" t="s">
        <v>53</v>
      </c>
      <c r="H338" t="s">
        <v>109</v>
      </c>
      <c r="I338" s="2" t="s">
        <v>110</v>
      </c>
      <c r="J338" s="2" t="s">
        <v>111</v>
      </c>
      <c r="K338" s="2">
        <v>3</v>
      </c>
      <c r="L338" s="2">
        <v>2020</v>
      </c>
      <c r="M338" t="s">
        <v>27</v>
      </c>
      <c r="N338" t="s">
        <v>67</v>
      </c>
      <c r="O338" t="s">
        <v>73</v>
      </c>
      <c r="P338">
        <v>10077</v>
      </c>
      <c r="Q338">
        <v>12</v>
      </c>
      <c r="R338" s="4">
        <f>(P338*(1+Q338/100))</f>
        <v>11286.240000000002</v>
      </c>
    </row>
    <row r="339" spans="1:18" x14ac:dyDescent="0.3">
      <c r="A339" t="s">
        <v>15</v>
      </c>
      <c r="B339" t="s">
        <v>30</v>
      </c>
      <c r="C339" t="s">
        <v>38</v>
      </c>
      <c r="D339" t="s">
        <v>49</v>
      </c>
      <c r="E339" t="str">
        <f>IF(F339&lt;5,"Beginner",IF(F339&lt;=10,"Mid-Level","Senior"))</f>
        <v>Senior</v>
      </c>
      <c r="F339" s="2">
        <v>13</v>
      </c>
      <c r="G339" t="s">
        <v>53</v>
      </c>
      <c r="H339" t="s">
        <v>109</v>
      </c>
      <c r="I339" s="2" t="s">
        <v>110</v>
      </c>
      <c r="J339" s="2" t="s">
        <v>111</v>
      </c>
      <c r="K339" s="2">
        <v>3</v>
      </c>
      <c r="L339" s="2">
        <v>2011</v>
      </c>
      <c r="M339" t="s">
        <v>30</v>
      </c>
      <c r="N339" t="s">
        <v>67</v>
      </c>
      <c r="O339" t="s">
        <v>77</v>
      </c>
      <c r="P339">
        <v>14144</v>
      </c>
      <c r="Q339">
        <v>18</v>
      </c>
      <c r="R339" s="4">
        <f>(P339*(1+Q339/100))</f>
        <v>16689.919999999998</v>
      </c>
    </row>
    <row r="340" spans="1:18" x14ac:dyDescent="0.3">
      <c r="A340" t="s">
        <v>15</v>
      </c>
      <c r="B340" t="s">
        <v>22</v>
      </c>
      <c r="C340" t="s">
        <v>38</v>
      </c>
      <c r="D340" t="s">
        <v>44</v>
      </c>
      <c r="E340" t="str">
        <f>IF(F340&lt;5,"Beginner",IF(F340&lt;=10,"Mid-Level","Senior"))</f>
        <v>Senior</v>
      </c>
      <c r="F340" s="2">
        <v>12</v>
      </c>
      <c r="G340" t="s">
        <v>58</v>
      </c>
      <c r="H340" t="s">
        <v>109</v>
      </c>
      <c r="I340" s="2" t="s">
        <v>110</v>
      </c>
      <c r="J340" s="2" t="s">
        <v>111</v>
      </c>
      <c r="K340" s="2">
        <v>3</v>
      </c>
      <c r="L340" s="2">
        <v>2013</v>
      </c>
      <c r="M340" t="s">
        <v>24</v>
      </c>
      <c r="N340" t="s">
        <v>67</v>
      </c>
      <c r="O340" t="s">
        <v>74</v>
      </c>
      <c r="P340">
        <v>11924</v>
      </c>
      <c r="Q340">
        <v>11</v>
      </c>
      <c r="R340" s="4">
        <f>(P340*(1+Q340/100))</f>
        <v>13235.640000000001</v>
      </c>
    </row>
    <row r="341" spans="1:18" x14ac:dyDescent="0.3">
      <c r="A341" t="s">
        <v>15</v>
      </c>
      <c r="B341" t="s">
        <v>24</v>
      </c>
      <c r="C341" t="s">
        <v>40</v>
      </c>
      <c r="D341" t="s">
        <v>44</v>
      </c>
      <c r="E341" t="str">
        <f>IF(F341&lt;5,"Beginner",IF(F341&lt;=10,"Mid-Level","Senior"))</f>
        <v>Mid-Level</v>
      </c>
      <c r="F341" s="2">
        <v>10</v>
      </c>
      <c r="G341" t="s">
        <v>51</v>
      </c>
      <c r="H341" t="s">
        <v>109</v>
      </c>
      <c r="I341" s="2" t="s">
        <v>110</v>
      </c>
      <c r="J341" s="2" t="s">
        <v>111</v>
      </c>
      <c r="K341" s="2">
        <v>3</v>
      </c>
      <c r="L341" s="2">
        <v>2016</v>
      </c>
      <c r="M341" t="s">
        <v>29</v>
      </c>
      <c r="N341" t="s">
        <v>65</v>
      </c>
      <c r="O341" t="s">
        <v>74</v>
      </c>
      <c r="P341">
        <v>8963</v>
      </c>
      <c r="Q341">
        <v>13</v>
      </c>
      <c r="R341" s="4">
        <f>(P341*(1+Q341/100))</f>
        <v>10128.189999999999</v>
      </c>
    </row>
    <row r="342" spans="1:18" x14ac:dyDescent="0.3">
      <c r="A342" t="s">
        <v>15</v>
      </c>
      <c r="B342" t="s">
        <v>30</v>
      </c>
      <c r="C342" t="s">
        <v>40</v>
      </c>
      <c r="D342" t="s">
        <v>47</v>
      </c>
      <c r="E342" t="str">
        <f>IF(F342&lt;5,"Beginner",IF(F342&lt;=10,"Mid-Level","Senior"))</f>
        <v>Senior</v>
      </c>
      <c r="F342" s="2">
        <v>11</v>
      </c>
      <c r="G342" t="s">
        <v>55</v>
      </c>
      <c r="H342" t="s">
        <v>109</v>
      </c>
      <c r="I342" s="2" t="s">
        <v>110</v>
      </c>
      <c r="J342" s="2" t="s">
        <v>111</v>
      </c>
      <c r="K342" s="2">
        <v>3</v>
      </c>
      <c r="L342" s="2">
        <v>2015</v>
      </c>
      <c r="M342" t="s">
        <v>27</v>
      </c>
      <c r="N342" t="s">
        <v>68</v>
      </c>
      <c r="O342" t="s">
        <v>73</v>
      </c>
      <c r="P342">
        <v>11840</v>
      </c>
      <c r="Q342">
        <v>16</v>
      </c>
      <c r="R342" s="4">
        <f>(P342*(1+Q342/100))</f>
        <v>13734.4</v>
      </c>
    </row>
    <row r="343" spans="1:18" x14ac:dyDescent="0.3">
      <c r="A343" t="s">
        <v>15</v>
      </c>
      <c r="B343" t="s">
        <v>25</v>
      </c>
      <c r="C343" t="s">
        <v>35</v>
      </c>
      <c r="D343" t="s">
        <v>49</v>
      </c>
      <c r="E343" t="str">
        <f>IF(F343&lt;5,"Beginner",IF(F343&lt;=10,"Mid-Level","Senior"))</f>
        <v>Mid-Level</v>
      </c>
      <c r="F343" s="2">
        <v>8</v>
      </c>
      <c r="G343" t="s">
        <v>58</v>
      </c>
      <c r="H343" t="s">
        <v>109</v>
      </c>
      <c r="I343" s="2" t="s">
        <v>110</v>
      </c>
      <c r="J343" s="2" t="s">
        <v>111</v>
      </c>
      <c r="K343" s="2">
        <v>3</v>
      </c>
      <c r="L343" s="2">
        <v>2021</v>
      </c>
      <c r="M343" t="s">
        <v>23</v>
      </c>
      <c r="N343" t="s">
        <v>67</v>
      </c>
      <c r="O343" t="s">
        <v>74</v>
      </c>
      <c r="P343">
        <v>11488</v>
      </c>
      <c r="Q343">
        <v>11</v>
      </c>
      <c r="R343" s="4">
        <f>(P343*(1+Q343/100))</f>
        <v>12751.68</v>
      </c>
    </row>
    <row r="344" spans="1:18" x14ac:dyDescent="0.3">
      <c r="A344" t="s">
        <v>15</v>
      </c>
      <c r="B344" t="s">
        <v>31</v>
      </c>
      <c r="C344" t="s">
        <v>40</v>
      </c>
      <c r="D344" t="s">
        <v>49</v>
      </c>
      <c r="E344" t="str">
        <f>IF(F344&lt;5,"Beginner",IF(F344&lt;=10,"Mid-Level","Senior"))</f>
        <v>Senior</v>
      </c>
      <c r="F344" s="2">
        <v>15</v>
      </c>
      <c r="G344" t="s">
        <v>57</v>
      </c>
      <c r="H344" t="s">
        <v>109</v>
      </c>
      <c r="I344" s="2" t="s">
        <v>110</v>
      </c>
      <c r="J344" s="2" t="s">
        <v>111</v>
      </c>
      <c r="K344" s="2">
        <v>3</v>
      </c>
      <c r="L344" s="2">
        <v>2021</v>
      </c>
      <c r="M344" t="s">
        <v>23</v>
      </c>
      <c r="N344" t="s">
        <v>63</v>
      </c>
      <c r="O344" t="s">
        <v>76</v>
      </c>
      <c r="P344">
        <v>15315</v>
      </c>
      <c r="Q344">
        <v>9</v>
      </c>
      <c r="R344" s="4">
        <f>(P344*(1+Q344/100))</f>
        <v>16693.350000000002</v>
      </c>
    </row>
    <row r="345" spans="1:18" x14ac:dyDescent="0.3">
      <c r="A345" t="s">
        <v>15</v>
      </c>
      <c r="B345" t="s">
        <v>26</v>
      </c>
      <c r="C345" t="s">
        <v>34</v>
      </c>
      <c r="D345" t="s">
        <v>42</v>
      </c>
      <c r="E345" t="str">
        <f>IF(F345&lt;5,"Beginner",IF(F345&lt;=10,"Mid-Level","Senior"))</f>
        <v>Mid-Level</v>
      </c>
      <c r="F345" s="2">
        <v>9</v>
      </c>
      <c r="G345" t="s">
        <v>54</v>
      </c>
      <c r="H345" t="s">
        <v>109</v>
      </c>
      <c r="I345" s="2" t="s">
        <v>110</v>
      </c>
      <c r="J345" s="2" t="s">
        <v>111</v>
      </c>
      <c r="K345" s="2">
        <v>3</v>
      </c>
      <c r="L345" s="2">
        <v>2016</v>
      </c>
      <c r="M345" t="s">
        <v>25</v>
      </c>
      <c r="N345" t="s">
        <v>70</v>
      </c>
      <c r="O345" t="s">
        <v>76</v>
      </c>
      <c r="P345">
        <v>9447</v>
      </c>
      <c r="Q345">
        <v>14</v>
      </c>
      <c r="R345" s="4">
        <f>(P345*(1+Q345/100))</f>
        <v>10769.580000000002</v>
      </c>
    </row>
    <row r="346" spans="1:18" x14ac:dyDescent="0.3">
      <c r="A346" t="s">
        <v>15</v>
      </c>
      <c r="B346" t="s">
        <v>30</v>
      </c>
      <c r="C346" t="s">
        <v>37</v>
      </c>
      <c r="D346" t="s">
        <v>47</v>
      </c>
      <c r="E346" t="str">
        <f>IF(F346&lt;5,"Beginner",IF(F346&lt;=10,"Mid-Level","Senior"))</f>
        <v>Senior</v>
      </c>
      <c r="F346" s="2">
        <v>11</v>
      </c>
      <c r="G346" t="s">
        <v>56</v>
      </c>
      <c r="H346" t="s">
        <v>109</v>
      </c>
      <c r="I346" s="2" t="s">
        <v>110</v>
      </c>
      <c r="J346" s="2" t="s">
        <v>111</v>
      </c>
      <c r="K346" s="2">
        <v>3</v>
      </c>
      <c r="L346" s="2">
        <v>2015</v>
      </c>
      <c r="M346" t="s">
        <v>24</v>
      </c>
      <c r="N346" t="s">
        <v>70</v>
      </c>
      <c r="O346" t="s">
        <v>74</v>
      </c>
      <c r="P346">
        <v>12564</v>
      </c>
      <c r="Q346">
        <v>12</v>
      </c>
      <c r="R346" s="4">
        <f>(P346*(1+Q346/100))</f>
        <v>14071.680000000002</v>
      </c>
    </row>
    <row r="347" spans="1:18" x14ac:dyDescent="0.3">
      <c r="A347" t="s">
        <v>15</v>
      </c>
      <c r="B347" t="s">
        <v>31</v>
      </c>
      <c r="C347" t="s">
        <v>35</v>
      </c>
      <c r="D347" t="s">
        <v>45</v>
      </c>
      <c r="E347" t="str">
        <f>IF(F347&lt;5,"Beginner",IF(F347&lt;=10,"Mid-Level","Senior"))</f>
        <v>Mid-Level</v>
      </c>
      <c r="F347" s="2">
        <v>8</v>
      </c>
      <c r="G347" t="s">
        <v>57</v>
      </c>
      <c r="H347" t="s">
        <v>109</v>
      </c>
      <c r="I347" s="2" t="s">
        <v>110</v>
      </c>
      <c r="J347" s="2" t="s">
        <v>111</v>
      </c>
      <c r="K347" s="2">
        <v>3</v>
      </c>
      <c r="L347" s="2">
        <v>2012</v>
      </c>
      <c r="M347" t="s">
        <v>22</v>
      </c>
      <c r="N347" t="s">
        <v>70</v>
      </c>
      <c r="O347" t="s">
        <v>74</v>
      </c>
      <c r="P347">
        <v>9465</v>
      </c>
      <c r="Q347">
        <v>17</v>
      </c>
      <c r="R347" s="4">
        <f>(P347*(1+Q347/100))</f>
        <v>11074.05</v>
      </c>
    </row>
    <row r="348" spans="1:18" x14ac:dyDescent="0.3">
      <c r="A348" t="s">
        <v>15</v>
      </c>
      <c r="B348" t="s">
        <v>22</v>
      </c>
      <c r="C348" t="s">
        <v>38</v>
      </c>
      <c r="D348" t="s">
        <v>49</v>
      </c>
      <c r="E348" t="str">
        <f>IF(F348&lt;5,"Beginner",IF(F348&lt;=10,"Mid-Level","Senior"))</f>
        <v>Mid-Level</v>
      </c>
      <c r="F348" s="2">
        <v>7</v>
      </c>
      <c r="G348" t="s">
        <v>55</v>
      </c>
      <c r="H348" t="s">
        <v>109</v>
      </c>
      <c r="I348" s="2" t="s">
        <v>110</v>
      </c>
      <c r="J348" s="2" t="s">
        <v>111</v>
      </c>
      <c r="K348" s="2">
        <v>3</v>
      </c>
      <c r="L348" s="2">
        <v>2018</v>
      </c>
      <c r="M348" t="s">
        <v>26</v>
      </c>
      <c r="N348" t="s">
        <v>67</v>
      </c>
      <c r="O348" t="s">
        <v>73</v>
      </c>
      <c r="P348">
        <v>8505</v>
      </c>
      <c r="Q348">
        <v>8</v>
      </c>
      <c r="R348" s="4">
        <f>(P348*(1+Q348/100))</f>
        <v>9185.4000000000015</v>
      </c>
    </row>
    <row r="349" spans="1:18" x14ac:dyDescent="0.3">
      <c r="A349" t="s">
        <v>15</v>
      </c>
      <c r="B349" t="s">
        <v>25</v>
      </c>
      <c r="C349" t="s">
        <v>40</v>
      </c>
      <c r="D349" t="s">
        <v>50</v>
      </c>
      <c r="E349" t="str">
        <f>IF(F349&lt;5,"Beginner",IF(F349&lt;=10,"Mid-Level","Senior"))</f>
        <v>Beginner</v>
      </c>
      <c r="F349" s="2">
        <v>4</v>
      </c>
      <c r="G349" t="s">
        <v>56</v>
      </c>
      <c r="H349" t="s">
        <v>109</v>
      </c>
      <c r="I349" s="2" t="s">
        <v>110</v>
      </c>
      <c r="J349" s="2" t="s">
        <v>111</v>
      </c>
      <c r="K349" s="2">
        <v>3</v>
      </c>
      <c r="L349" s="2">
        <v>2016</v>
      </c>
      <c r="M349" t="s">
        <v>26</v>
      </c>
      <c r="N349" t="s">
        <v>66</v>
      </c>
      <c r="O349" t="s">
        <v>76</v>
      </c>
      <c r="P349">
        <v>9200</v>
      </c>
      <c r="Q349">
        <v>14</v>
      </c>
      <c r="R349" s="4">
        <f>(P349*(1+Q349/100))</f>
        <v>10488.000000000002</v>
      </c>
    </row>
    <row r="350" spans="1:18" x14ac:dyDescent="0.3">
      <c r="A350" t="s">
        <v>15</v>
      </c>
      <c r="B350" t="s">
        <v>27</v>
      </c>
      <c r="C350" t="s">
        <v>33</v>
      </c>
      <c r="D350" t="s">
        <v>45</v>
      </c>
      <c r="E350" t="str">
        <f>IF(F350&lt;5,"Beginner",IF(F350&lt;=10,"Mid-Level","Senior"))</f>
        <v>Mid-Level</v>
      </c>
      <c r="F350" s="2">
        <v>6</v>
      </c>
      <c r="G350" t="s">
        <v>58</v>
      </c>
      <c r="H350" t="s">
        <v>109</v>
      </c>
      <c r="I350" s="2" t="s">
        <v>110</v>
      </c>
      <c r="J350" s="2" t="s">
        <v>111</v>
      </c>
      <c r="K350" s="2">
        <v>3</v>
      </c>
      <c r="L350" s="2">
        <v>2024</v>
      </c>
      <c r="M350" t="s">
        <v>28</v>
      </c>
      <c r="N350" t="s">
        <v>67</v>
      </c>
      <c r="O350" t="s">
        <v>76</v>
      </c>
      <c r="P350">
        <v>14756</v>
      </c>
      <c r="Q350">
        <v>10</v>
      </c>
      <c r="R350" s="4">
        <f>(P350*(1+Q350/100))</f>
        <v>16231.600000000002</v>
      </c>
    </row>
    <row r="351" spans="1:18" x14ac:dyDescent="0.3">
      <c r="A351" t="s">
        <v>15</v>
      </c>
      <c r="B351" t="s">
        <v>31</v>
      </c>
      <c r="C351" t="s">
        <v>40</v>
      </c>
      <c r="D351" t="s">
        <v>41</v>
      </c>
      <c r="E351" t="str">
        <f>IF(F351&lt;5,"Beginner",IF(F351&lt;=10,"Mid-Level","Senior"))</f>
        <v>Mid-Level</v>
      </c>
      <c r="F351" s="2">
        <v>10</v>
      </c>
      <c r="G351" t="s">
        <v>51</v>
      </c>
      <c r="H351" t="s">
        <v>109</v>
      </c>
      <c r="I351" s="2" t="s">
        <v>110</v>
      </c>
      <c r="J351" s="2" t="s">
        <v>111</v>
      </c>
      <c r="K351" s="2">
        <v>3</v>
      </c>
      <c r="L351" s="2">
        <v>2011</v>
      </c>
      <c r="M351" t="s">
        <v>29</v>
      </c>
      <c r="N351" t="s">
        <v>71</v>
      </c>
      <c r="O351" t="s">
        <v>76</v>
      </c>
      <c r="P351">
        <v>11137</v>
      </c>
      <c r="Q351">
        <v>10</v>
      </c>
      <c r="R351" s="4">
        <f>(P351*(1+Q351/100))</f>
        <v>12250.7</v>
      </c>
    </row>
    <row r="352" spans="1:18" x14ac:dyDescent="0.3">
      <c r="A352" t="s">
        <v>15</v>
      </c>
      <c r="B352" t="s">
        <v>26</v>
      </c>
      <c r="C352" t="s">
        <v>5</v>
      </c>
      <c r="D352" t="s">
        <v>46</v>
      </c>
      <c r="E352" t="str">
        <f>IF(F352&lt;5,"Beginner",IF(F352&lt;=10,"Mid-Level","Senior"))</f>
        <v>Beginner</v>
      </c>
      <c r="F352" s="2">
        <v>1</v>
      </c>
      <c r="G352" t="s">
        <v>56</v>
      </c>
      <c r="H352" t="s">
        <v>109</v>
      </c>
      <c r="I352" s="2" t="s">
        <v>110</v>
      </c>
      <c r="J352" s="2" t="s">
        <v>111</v>
      </c>
      <c r="K352" s="2">
        <v>3</v>
      </c>
      <c r="L352" s="2">
        <v>2018</v>
      </c>
      <c r="M352" t="s">
        <v>27</v>
      </c>
      <c r="N352" t="s">
        <v>68</v>
      </c>
      <c r="O352" t="s">
        <v>75</v>
      </c>
      <c r="P352">
        <v>11504</v>
      </c>
      <c r="Q352">
        <v>11</v>
      </c>
      <c r="R352" s="4">
        <f>(P352*(1+Q352/100))</f>
        <v>12769.44</v>
      </c>
    </row>
    <row r="353" spans="1:18" x14ac:dyDescent="0.3">
      <c r="A353" t="s">
        <v>19</v>
      </c>
      <c r="B353" t="s">
        <v>25</v>
      </c>
      <c r="C353" t="s">
        <v>37</v>
      </c>
      <c r="D353" t="s">
        <v>42</v>
      </c>
      <c r="E353" t="str">
        <f>IF(F353&lt;5,"Beginner",IF(F353&lt;=10,"Mid-Level","Senior"))</f>
        <v>Senior</v>
      </c>
      <c r="F353" s="2">
        <v>16</v>
      </c>
      <c r="G353" t="s">
        <v>56</v>
      </c>
      <c r="H353" t="s">
        <v>96</v>
      </c>
      <c r="I353" s="2" t="s">
        <v>85</v>
      </c>
      <c r="J353" s="2" t="s">
        <v>97</v>
      </c>
      <c r="K353" s="2">
        <v>3</v>
      </c>
      <c r="L353" s="2">
        <v>2018</v>
      </c>
      <c r="M353" t="s">
        <v>28</v>
      </c>
      <c r="N353" t="s">
        <v>70</v>
      </c>
      <c r="O353" t="s">
        <v>74</v>
      </c>
      <c r="P353">
        <v>6188</v>
      </c>
      <c r="Q353">
        <v>9</v>
      </c>
      <c r="R353" s="4">
        <f>(P353*(1+Q353/100))</f>
        <v>6744.92</v>
      </c>
    </row>
    <row r="354" spans="1:18" x14ac:dyDescent="0.3">
      <c r="A354" t="s">
        <v>19</v>
      </c>
      <c r="B354" t="s">
        <v>25</v>
      </c>
      <c r="C354" t="s">
        <v>36</v>
      </c>
      <c r="D354" t="s">
        <v>43</v>
      </c>
      <c r="E354" t="str">
        <f>IF(F354&lt;5,"Beginner",IF(F354&lt;=10,"Mid-Level","Senior"))</f>
        <v>Mid-Level</v>
      </c>
      <c r="F354" s="2">
        <v>7</v>
      </c>
      <c r="G354" t="s">
        <v>57</v>
      </c>
      <c r="H354" t="s">
        <v>96</v>
      </c>
      <c r="I354" s="2" t="s">
        <v>85</v>
      </c>
      <c r="J354" s="2" t="s">
        <v>97</v>
      </c>
      <c r="K354" s="2">
        <v>3</v>
      </c>
      <c r="L354" s="2">
        <v>2018</v>
      </c>
      <c r="M354" t="s">
        <v>26</v>
      </c>
      <c r="N354" t="s">
        <v>65</v>
      </c>
      <c r="O354" t="s">
        <v>77</v>
      </c>
      <c r="P354">
        <v>7153</v>
      </c>
      <c r="Q354">
        <v>12</v>
      </c>
      <c r="R354" s="4">
        <f>(P354*(1+Q354/100))</f>
        <v>8011.3600000000006</v>
      </c>
    </row>
    <row r="355" spans="1:18" x14ac:dyDescent="0.3">
      <c r="A355" t="s">
        <v>19</v>
      </c>
      <c r="B355" t="s">
        <v>24</v>
      </c>
      <c r="C355" t="s">
        <v>32</v>
      </c>
      <c r="D355" t="s">
        <v>46</v>
      </c>
      <c r="E355" t="str">
        <f>IF(F355&lt;5,"Beginner",IF(F355&lt;=10,"Mid-Level","Senior"))</f>
        <v>Beginner</v>
      </c>
      <c r="F355" s="2">
        <v>3</v>
      </c>
      <c r="G355" t="s">
        <v>56</v>
      </c>
      <c r="H355" t="s">
        <v>106</v>
      </c>
      <c r="I355" s="2" t="s">
        <v>85</v>
      </c>
      <c r="J355" s="2" t="s">
        <v>120</v>
      </c>
      <c r="K355" s="2">
        <v>3</v>
      </c>
      <c r="L355" s="2">
        <v>2023</v>
      </c>
      <c r="M355" t="s">
        <v>27</v>
      </c>
      <c r="N355" t="s">
        <v>69</v>
      </c>
      <c r="O355" t="s">
        <v>77</v>
      </c>
      <c r="P355">
        <v>10649</v>
      </c>
      <c r="Q355">
        <v>14</v>
      </c>
      <c r="R355" s="4">
        <f>(P355*(1+Q355/100))</f>
        <v>12139.86</v>
      </c>
    </row>
    <row r="356" spans="1:18" x14ac:dyDescent="0.3">
      <c r="A356" t="s">
        <v>19</v>
      </c>
      <c r="B356" t="s">
        <v>28</v>
      </c>
      <c r="C356" t="s">
        <v>39</v>
      </c>
      <c r="D356" t="s">
        <v>44</v>
      </c>
      <c r="E356" t="str">
        <f>IF(F356&lt;5,"Beginner",IF(F356&lt;=10,"Mid-Level","Senior"))</f>
        <v>Senior</v>
      </c>
      <c r="F356" s="2">
        <v>12</v>
      </c>
      <c r="G356" t="s">
        <v>57</v>
      </c>
      <c r="H356" t="s">
        <v>106</v>
      </c>
      <c r="I356" s="2" t="s">
        <v>85</v>
      </c>
      <c r="J356" s="2" t="s">
        <v>120</v>
      </c>
      <c r="K356" s="2">
        <v>3</v>
      </c>
      <c r="L356" s="2">
        <v>2024</v>
      </c>
      <c r="M356" t="s">
        <v>23</v>
      </c>
      <c r="N356" t="s">
        <v>67</v>
      </c>
      <c r="O356" t="s">
        <v>74</v>
      </c>
      <c r="P356">
        <v>9392</v>
      </c>
      <c r="Q356">
        <v>6</v>
      </c>
      <c r="R356" s="4">
        <f>(P356*(1+Q356/100))</f>
        <v>9955.52</v>
      </c>
    </row>
    <row r="357" spans="1:18" x14ac:dyDescent="0.3">
      <c r="A357" t="s">
        <v>19</v>
      </c>
      <c r="B357" t="s">
        <v>22</v>
      </c>
      <c r="C357" t="s">
        <v>39</v>
      </c>
      <c r="D357" t="s">
        <v>42</v>
      </c>
      <c r="E357" t="str">
        <f>IF(F357&lt;5,"Beginner",IF(F357&lt;=10,"Mid-Level","Senior"))</f>
        <v>Senior</v>
      </c>
      <c r="F357" s="2">
        <v>13</v>
      </c>
      <c r="G357" t="s">
        <v>59</v>
      </c>
      <c r="H357" t="s">
        <v>106</v>
      </c>
      <c r="I357" s="2" t="s">
        <v>85</v>
      </c>
      <c r="J357" s="2" t="s">
        <v>120</v>
      </c>
      <c r="K357" s="2">
        <v>3</v>
      </c>
      <c r="L357" s="2">
        <v>2015</v>
      </c>
      <c r="M357" t="s">
        <v>22</v>
      </c>
      <c r="N357" t="s">
        <v>64</v>
      </c>
      <c r="O357" t="s">
        <v>77</v>
      </c>
      <c r="P357">
        <v>8132</v>
      </c>
      <c r="Q357">
        <v>14</v>
      </c>
      <c r="R357" s="4">
        <f>(P357*(1+Q357/100))</f>
        <v>9270.4800000000014</v>
      </c>
    </row>
    <row r="358" spans="1:18" x14ac:dyDescent="0.3">
      <c r="A358" t="s">
        <v>19</v>
      </c>
      <c r="B358" t="s">
        <v>26</v>
      </c>
      <c r="C358" t="s">
        <v>38</v>
      </c>
      <c r="D358" t="s">
        <v>49</v>
      </c>
      <c r="E358" t="str">
        <f>IF(F358&lt;5,"Beginner",IF(F358&lt;=10,"Mid-Level","Senior"))</f>
        <v>Beginner</v>
      </c>
      <c r="F358" s="2">
        <v>1</v>
      </c>
      <c r="G358" t="s">
        <v>56</v>
      </c>
      <c r="H358" t="s">
        <v>106</v>
      </c>
      <c r="I358" s="2" t="s">
        <v>85</v>
      </c>
      <c r="J358" s="2" t="s">
        <v>120</v>
      </c>
      <c r="K358" s="2">
        <v>3</v>
      </c>
      <c r="L358" s="2">
        <v>2020</v>
      </c>
      <c r="M358" t="s">
        <v>28</v>
      </c>
      <c r="N358" t="s">
        <v>70</v>
      </c>
      <c r="O358" t="s">
        <v>74</v>
      </c>
      <c r="P358">
        <v>5814</v>
      </c>
      <c r="Q358">
        <v>13</v>
      </c>
      <c r="R358" s="4">
        <f>(P358*(1+Q358/100))</f>
        <v>6569.82</v>
      </c>
    </row>
    <row r="359" spans="1:18" x14ac:dyDescent="0.3">
      <c r="A359" t="s">
        <v>19</v>
      </c>
      <c r="B359" t="s">
        <v>25</v>
      </c>
      <c r="C359" t="s">
        <v>39</v>
      </c>
      <c r="D359" t="s">
        <v>44</v>
      </c>
      <c r="E359" t="str">
        <f>IF(F359&lt;5,"Beginner",IF(F359&lt;=10,"Mid-Level","Senior"))</f>
        <v>Mid-Level</v>
      </c>
      <c r="F359" s="2">
        <v>5</v>
      </c>
      <c r="G359" t="s">
        <v>52</v>
      </c>
      <c r="H359" t="s">
        <v>106</v>
      </c>
      <c r="I359" s="2" t="s">
        <v>85</v>
      </c>
      <c r="J359" s="2" t="s">
        <v>120</v>
      </c>
      <c r="K359" s="2">
        <v>3</v>
      </c>
      <c r="L359" s="2">
        <v>2015</v>
      </c>
      <c r="M359" t="s">
        <v>24</v>
      </c>
      <c r="N359" t="s">
        <v>70</v>
      </c>
      <c r="O359" t="s">
        <v>76</v>
      </c>
      <c r="P359">
        <v>10381</v>
      </c>
      <c r="Q359">
        <v>6</v>
      </c>
      <c r="R359" s="4">
        <f>(P359*(1+Q359/100))</f>
        <v>11003.86</v>
      </c>
    </row>
    <row r="360" spans="1:18" x14ac:dyDescent="0.3">
      <c r="A360" t="s">
        <v>19</v>
      </c>
      <c r="B360" t="s">
        <v>22</v>
      </c>
      <c r="C360" t="s">
        <v>32</v>
      </c>
      <c r="D360" t="s">
        <v>48</v>
      </c>
      <c r="E360" t="str">
        <f>IF(F360&lt;5,"Beginner",IF(F360&lt;=10,"Mid-Level","Senior"))</f>
        <v>Senior</v>
      </c>
      <c r="F360" s="2">
        <v>13</v>
      </c>
      <c r="G360" t="s">
        <v>55</v>
      </c>
      <c r="H360" t="s">
        <v>96</v>
      </c>
      <c r="I360" s="2" t="s">
        <v>85</v>
      </c>
      <c r="J360" s="2" t="s">
        <v>97</v>
      </c>
      <c r="K360" s="2">
        <v>3</v>
      </c>
      <c r="L360" s="2">
        <v>2025</v>
      </c>
      <c r="M360" t="s">
        <v>26</v>
      </c>
      <c r="N360" t="s">
        <v>67</v>
      </c>
      <c r="O360" t="s">
        <v>73</v>
      </c>
      <c r="P360">
        <v>11983</v>
      </c>
      <c r="Q360">
        <v>15</v>
      </c>
      <c r="R360" s="4">
        <f>(P360*(1+Q360/100))</f>
        <v>13780.449999999999</v>
      </c>
    </row>
    <row r="361" spans="1:18" x14ac:dyDescent="0.3">
      <c r="A361" t="s">
        <v>19</v>
      </c>
      <c r="B361" t="s">
        <v>27</v>
      </c>
      <c r="C361" t="s">
        <v>39</v>
      </c>
      <c r="D361" t="s">
        <v>41</v>
      </c>
      <c r="E361" t="str">
        <f>IF(F361&lt;5,"Beginner",IF(F361&lt;=10,"Mid-Level","Senior"))</f>
        <v>Beginner</v>
      </c>
      <c r="F361" s="2">
        <v>3</v>
      </c>
      <c r="G361" t="s">
        <v>51</v>
      </c>
      <c r="H361" t="s">
        <v>96</v>
      </c>
      <c r="I361" s="2" t="s">
        <v>85</v>
      </c>
      <c r="J361" s="2" t="s">
        <v>97</v>
      </c>
      <c r="K361" s="2">
        <v>3</v>
      </c>
      <c r="L361" s="2">
        <v>2021</v>
      </c>
      <c r="M361" t="s">
        <v>23</v>
      </c>
      <c r="N361" t="s">
        <v>68</v>
      </c>
      <c r="O361" t="s">
        <v>76</v>
      </c>
      <c r="P361">
        <v>5598</v>
      </c>
      <c r="Q361">
        <v>10</v>
      </c>
      <c r="R361" s="4">
        <f>(P361*(1+Q361/100))</f>
        <v>6157.8</v>
      </c>
    </row>
    <row r="362" spans="1:18" x14ac:dyDescent="0.3">
      <c r="A362" t="s">
        <v>19</v>
      </c>
      <c r="B362" t="s">
        <v>25</v>
      </c>
      <c r="C362" t="s">
        <v>32</v>
      </c>
      <c r="D362" t="s">
        <v>44</v>
      </c>
      <c r="E362" t="str">
        <f>IF(F362&lt;5,"Beginner",IF(F362&lt;=10,"Mid-Level","Senior"))</f>
        <v>Senior</v>
      </c>
      <c r="F362" s="2">
        <v>18</v>
      </c>
      <c r="G362" t="s">
        <v>51</v>
      </c>
      <c r="H362" t="s">
        <v>96</v>
      </c>
      <c r="I362" s="2" t="s">
        <v>85</v>
      </c>
      <c r="J362" s="2" t="s">
        <v>97</v>
      </c>
      <c r="K362" s="2">
        <v>3</v>
      </c>
      <c r="L362" s="2">
        <v>2020</v>
      </c>
      <c r="M362" t="s">
        <v>23</v>
      </c>
      <c r="N362" t="s">
        <v>67</v>
      </c>
      <c r="O362" t="s">
        <v>75</v>
      </c>
      <c r="P362">
        <v>7293</v>
      </c>
      <c r="Q362">
        <v>7</v>
      </c>
      <c r="R362" s="4">
        <f>(P362*(1+Q362/100))</f>
        <v>7803.51</v>
      </c>
    </row>
    <row r="363" spans="1:18" x14ac:dyDescent="0.3">
      <c r="A363" t="s">
        <v>19</v>
      </c>
      <c r="B363" t="s">
        <v>27</v>
      </c>
      <c r="C363" t="s">
        <v>34</v>
      </c>
      <c r="D363" t="s">
        <v>41</v>
      </c>
      <c r="E363" t="str">
        <f>IF(F363&lt;5,"Beginner",IF(F363&lt;=10,"Mid-Level","Senior"))</f>
        <v>Senior</v>
      </c>
      <c r="F363" s="2">
        <v>13</v>
      </c>
      <c r="G363" t="s">
        <v>58</v>
      </c>
      <c r="H363" t="s">
        <v>96</v>
      </c>
      <c r="I363" s="2" t="s">
        <v>85</v>
      </c>
      <c r="J363" s="2" t="s">
        <v>97</v>
      </c>
      <c r="K363" s="2">
        <v>3</v>
      </c>
      <c r="L363" s="2">
        <v>2022</v>
      </c>
      <c r="M363" t="s">
        <v>26</v>
      </c>
      <c r="N363" t="s">
        <v>69</v>
      </c>
      <c r="O363" t="s">
        <v>73</v>
      </c>
      <c r="P363">
        <v>5052</v>
      </c>
      <c r="Q363">
        <v>9</v>
      </c>
      <c r="R363" s="4">
        <f>(P363*(1+Q363/100))</f>
        <v>5506.68</v>
      </c>
    </row>
    <row r="364" spans="1:18" x14ac:dyDescent="0.3">
      <c r="A364" t="s">
        <v>19</v>
      </c>
      <c r="B364" t="s">
        <v>23</v>
      </c>
      <c r="C364" t="s">
        <v>34</v>
      </c>
      <c r="D364" t="s">
        <v>41</v>
      </c>
      <c r="E364" t="str">
        <f>IF(F364&lt;5,"Beginner",IF(F364&lt;=10,"Mid-Level","Senior"))</f>
        <v>Beginner</v>
      </c>
      <c r="F364" s="2">
        <v>2</v>
      </c>
      <c r="G364" t="s">
        <v>55</v>
      </c>
      <c r="H364" t="s">
        <v>106</v>
      </c>
      <c r="I364" s="2" t="s">
        <v>85</v>
      </c>
      <c r="J364" s="2" t="s">
        <v>120</v>
      </c>
      <c r="K364" s="2">
        <v>3</v>
      </c>
      <c r="L364" s="2">
        <v>2017</v>
      </c>
      <c r="M364" t="s">
        <v>31</v>
      </c>
      <c r="N364" t="s">
        <v>67</v>
      </c>
      <c r="O364" t="s">
        <v>76</v>
      </c>
      <c r="P364">
        <v>5261</v>
      </c>
      <c r="Q364">
        <v>14</v>
      </c>
      <c r="R364" s="4">
        <f>(P364*(1+Q364/100))</f>
        <v>5997.5400000000009</v>
      </c>
    </row>
    <row r="365" spans="1:18" x14ac:dyDescent="0.3">
      <c r="A365" t="s">
        <v>19</v>
      </c>
      <c r="B365" t="s">
        <v>31</v>
      </c>
      <c r="C365" t="s">
        <v>33</v>
      </c>
      <c r="D365" t="s">
        <v>47</v>
      </c>
      <c r="E365" t="str">
        <f>IF(F365&lt;5,"Beginner",IF(F365&lt;=10,"Mid-Level","Senior"))</f>
        <v>Senior</v>
      </c>
      <c r="F365" s="2">
        <v>17</v>
      </c>
      <c r="G365" t="s">
        <v>55</v>
      </c>
      <c r="H365" t="s">
        <v>96</v>
      </c>
      <c r="I365" s="2" t="s">
        <v>85</v>
      </c>
      <c r="J365" s="2" t="s">
        <v>97</v>
      </c>
      <c r="K365" s="2">
        <v>3</v>
      </c>
      <c r="L365" s="2">
        <v>2022</v>
      </c>
      <c r="M365" t="s">
        <v>28</v>
      </c>
      <c r="N365" t="s">
        <v>68</v>
      </c>
      <c r="O365" t="s">
        <v>75</v>
      </c>
      <c r="P365">
        <v>8211</v>
      </c>
      <c r="Q365">
        <v>14</v>
      </c>
      <c r="R365" s="4">
        <f>(P365*(1+Q365/100))</f>
        <v>9360.5400000000009</v>
      </c>
    </row>
    <row r="366" spans="1:18" x14ac:dyDescent="0.3">
      <c r="A366" t="s">
        <v>19</v>
      </c>
      <c r="B366" t="s">
        <v>26</v>
      </c>
      <c r="C366" t="s">
        <v>34</v>
      </c>
      <c r="D366" t="s">
        <v>41</v>
      </c>
      <c r="E366" t="str">
        <f>IF(F366&lt;5,"Beginner",IF(F366&lt;=10,"Mid-Level","Senior"))</f>
        <v>Senior</v>
      </c>
      <c r="F366" s="2">
        <v>19</v>
      </c>
      <c r="G366" t="s">
        <v>58</v>
      </c>
      <c r="H366" t="s">
        <v>106</v>
      </c>
      <c r="I366" s="2" t="s">
        <v>85</v>
      </c>
      <c r="J366" s="2" t="s">
        <v>120</v>
      </c>
      <c r="K366" s="2">
        <v>3</v>
      </c>
      <c r="L366" s="2">
        <v>2015</v>
      </c>
      <c r="M366" t="s">
        <v>25</v>
      </c>
      <c r="N366" t="s">
        <v>69</v>
      </c>
      <c r="O366" t="s">
        <v>73</v>
      </c>
      <c r="P366">
        <v>7310</v>
      </c>
      <c r="Q366">
        <v>6</v>
      </c>
      <c r="R366" s="4">
        <f>(P366*(1+Q366/100))</f>
        <v>7748.6</v>
      </c>
    </row>
    <row r="367" spans="1:18" x14ac:dyDescent="0.3">
      <c r="A367" t="s">
        <v>19</v>
      </c>
      <c r="B367" t="s">
        <v>30</v>
      </c>
      <c r="C367" t="s">
        <v>5</v>
      </c>
      <c r="D367" t="s">
        <v>48</v>
      </c>
      <c r="E367" t="str">
        <f>IF(F367&lt;5,"Beginner",IF(F367&lt;=10,"Mid-Level","Senior"))</f>
        <v>Senior</v>
      </c>
      <c r="F367" s="2">
        <v>20</v>
      </c>
      <c r="G367" t="s">
        <v>55</v>
      </c>
      <c r="H367" t="s">
        <v>106</v>
      </c>
      <c r="I367" s="2" t="s">
        <v>85</v>
      </c>
      <c r="J367" s="2" t="s">
        <v>120</v>
      </c>
      <c r="K367" s="2">
        <v>3</v>
      </c>
      <c r="L367" s="2">
        <v>2022</v>
      </c>
      <c r="M367" t="s">
        <v>28</v>
      </c>
      <c r="N367" t="s">
        <v>69</v>
      </c>
      <c r="O367" t="s">
        <v>76</v>
      </c>
      <c r="P367">
        <v>6362</v>
      </c>
      <c r="Q367">
        <v>15</v>
      </c>
      <c r="R367" s="4">
        <f>(P367*(1+Q367/100))</f>
        <v>7316.2999999999993</v>
      </c>
    </row>
    <row r="368" spans="1:18" x14ac:dyDescent="0.3">
      <c r="A368" t="s">
        <v>19</v>
      </c>
      <c r="B368" t="s">
        <v>24</v>
      </c>
      <c r="C368" t="s">
        <v>40</v>
      </c>
      <c r="D368" t="s">
        <v>42</v>
      </c>
      <c r="E368" t="str">
        <f>IF(F368&lt;5,"Beginner",IF(F368&lt;=10,"Mid-Level","Senior"))</f>
        <v>Beginner</v>
      </c>
      <c r="F368" s="2">
        <v>1</v>
      </c>
      <c r="G368" t="s">
        <v>53</v>
      </c>
      <c r="H368" t="s">
        <v>106</v>
      </c>
      <c r="I368" s="2" t="s">
        <v>85</v>
      </c>
      <c r="J368" s="2" t="s">
        <v>120</v>
      </c>
      <c r="K368" s="2">
        <v>3</v>
      </c>
      <c r="L368" s="2">
        <v>2015</v>
      </c>
      <c r="M368" t="s">
        <v>24</v>
      </c>
      <c r="N368" t="s">
        <v>66</v>
      </c>
      <c r="O368" t="s">
        <v>77</v>
      </c>
      <c r="P368">
        <v>6333</v>
      </c>
      <c r="Q368">
        <v>15</v>
      </c>
      <c r="R368" s="4">
        <f>(P368*(1+Q368/100))</f>
        <v>7282.95</v>
      </c>
    </row>
    <row r="369" spans="1:18" x14ac:dyDescent="0.3">
      <c r="A369" t="s">
        <v>19</v>
      </c>
      <c r="B369" t="s">
        <v>22</v>
      </c>
      <c r="C369" t="s">
        <v>36</v>
      </c>
      <c r="D369" t="s">
        <v>42</v>
      </c>
      <c r="E369" t="str">
        <f>IF(F369&lt;5,"Beginner",IF(F369&lt;=10,"Mid-Level","Senior"))</f>
        <v>Senior</v>
      </c>
      <c r="F369" s="2">
        <v>12</v>
      </c>
      <c r="G369" t="s">
        <v>55</v>
      </c>
      <c r="H369" t="s">
        <v>106</v>
      </c>
      <c r="I369" s="2" t="s">
        <v>85</v>
      </c>
      <c r="J369" s="2" t="s">
        <v>120</v>
      </c>
      <c r="K369" s="2">
        <v>3</v>
      </c>
      <c r="L369" s="2">
        <v>2025</v>
      </c>
      <c r="M369" t="s">
        <v>28</v>
      </c>
      <c r="N369" t="s">
        <v>68</v>
      </c>
      <c r="O369" t="s">
        <v>76</v>
      </c>
      <c r="P369">
        <v>8360</v>
      </c>
      <c r="Q369">
        <v>15</v>
      </c>
      <c r="R369" s="4">
        <f>(P369*(1+Q369/100))</f>
        <v>9614</v>
      </c>
    </row>
    <row r="370" spans="1:18" x14ac:dyDescent="0.3">
      <c r="A370" t="s">
        <v>19</v>
      </c>
      <c r="B370" t="s">
        <v>25</v>
      </c>
      <c r="C370" t="s">
        <v>40</v>
      </c>
      <c r="D370" t="s">
        <v>48</v>
      </c>
      <c r="E370" t="str">
        <f>IF(F370&lt;5,"Beginner",IF(F370&lt;=10,"Mid-Level","Senior"))</f>
        <v>Senior</v>
      </c>
      <c r="F370" s="2">
        <v>13</v>
      </c>
      <c r="G370" t="s">
        <v>57</v>
      </c>
      <c r="H370" t="s">
        <v>96</v>
      </c>
      <c r="I370" s="2" t="s">
        <v>85</v>
      </c>
      <c r="J370" s="2" t="s">
        <v>97</v>
      </c>
      <c r="K370" s="2">
        <v>3</v>
      </c>
      <c r="L370" s="2">
        <v>2012</v>
      </c>
      <c r="M370" t="s">
        <v>29</v>
      </c>
      <c r="N370" t="s">
        <v>65</v>
      </c>
      <c r="O370" t="s">
        <v>76</v>
      </c>
      <c r="P370">
        <v>6594</v>
      </c>
      <c r="Q370">
        <v>11</v>
      </c>
      <c r="R370" s="4">
        <f>(P370*(1+Q370/100))</f>
        <v>7319.3400000000011</v>
      </c>
    </row>
    <row r="371" spans="1:18" x14ac:dyDescent="0.3">
      <c r="A371" t="s">
        <v>19</v>
      </c>
      <c r="B371" t="s">
        <v>29</v>
      </c>
      <c r="C371" t="s">
        <v>32</v>
      </c>
      <c r="D371" t="s">
        <v>46</v>
      </c>
      <c r="E371" t="str">
        <f>IF(F371&lt;5,"Beginner",IF(F371&lt;=10,"Mid-Level","Senior"))</f>
        <v>Mid-Level</v>
      </c>
      <c r="F371" s="2">
        <v>7</v>
      </c>
      <c r="G371" t="s">
        <v>56</v>
      </c>
      <c r="H371" t="s">
        <v>96</v>
      </c>
      <c r="I371" s="2" t="s">
        <v>85</v>
      </c>
      <c r="J371" s="2" t="s">
        <v>97</v>
      </c>
      <c r="K371" s="2">
        <v>3</v>
      </c>
      <c r="L371" s="2">
        <v>2017</v>
      </c>
      <c r="M371" t="s">
        <v>30</v>
      </c>
      <c r="N371" t="s">
        <v>63</v>
      </c>
      <c r="O371" t="s">
        <v>74</v>
      </c>
      <c r="P371">
        <v>10008</v>
      </c>
      <c r="Q371">
        <v>11</v>
      </c>
      <c r="R371" s="4">
        <f>(P371*(1+Q371/100))</f>
        <v>11108.880000000001</v>
      </c>
    </row>
    <row r="372" spans="1:18" x14ac:dyDescent="0.3">
      <c r="A372" t="s">
        <v>19</v>
      </c>
      <c r="B372" t="s">
        <v>31</v>
      </c>
      <c r="C372" t="s">
        <v>40</v>
      </c>
      <c r="D372" t="s">
        <v>49</v>
      </c>
      <c r="E372" t="str">
        <f>IF(F372&lt;5,"Beginner",IF(F372&lt;=10,"Mid-Level","Senior"))</f>
        <v>Senior</v>
      </c>
      <c r="F372" s="2">
        <v>15</v>
      </c>
      <c r="G372" t="s">
        <v>57</v>
      </c>
      <c r="H372" t="s">
        <v>96</v>
      </c>
      <c r="I372" s="2" t="s">
        <v>85</v>
      </c>
      <c r="J372" s="2" t="s">
        <v>97</v>
      </c>
      <c r="K372" s="2">
        <v>3</v>
      </c>
      <c r="L372" s="2">
        <v>2024</v>
      </c>
      <c r="M372" t="s">
        <v>28</v>
      </c>
      <c r="N372" t="s">
        <v>64</v>
      </c>
      <c r="O372" t="s">
        <v>74</v>
      </c>
      <c r="P372">
        <v>6397</v>
      </c>
      <c r="Q372">
        <v>6</v>
      </c>
      <c r="R372" s="4">
        <f>(P372*(1+Q372/100))</f>
        <v>6780.8200000000006</v>
      </c>
    </row>
    <row r="373" spans="1:18" x14ac:dyDescent="0.3">
      <c r="A373" t="s">
        <v>19</v>
      </c>
      <c r="B373" t="s">
        <v>31</v>
      </c>
      <c r="C373" t="s">
        <v>39</v>
      </c>
      <c r="D373" t="s">
        <v>49</v>
      </c>
      <c r="E373" t="str">
        <f>IF(F373&lt;5,"Beginner",IF(F373&lt;=10,"Mid-Level","Senior"))</f>
        <v>Senior</v>
      </c>
      <c r="F373" s="2">
        <v>14</v>
      </c>
      <c r="G373" t="s">
        <v>58</v>
      </c>
      <c r="H373" t="s">
        <v>96</v>
      </c>
      <c r="I373" s="2" t="s">
        <v>85</v>
      </c>
      <c r="J373" s="2" t="s">
        <v>97</v>
      </c>
      <c r="K373" s="2">
        <v>3</v>
      </c>
      <c r="L373" s="2">
        <v>2017</v>
      </c>
      <c r="M373" t="s">
        <v>31</v>
      </c>
      <c r="N373" t="s">
        <v>66</v>
      </c>
      <c r="O373" t="s">
        <v>73</v>
      </c>
      <c r="P373">
        <v>9071</v>
      </c>
      <c r="Q373">
        <v>15</v>
      </c>
      <c r="R373" s="4">
        <f>(P373*(1+Q373/100))</f>
        <v>10431.65</v>
      </c>
    </row>
    <row r="374" spans="1:18" x14ac:dyDescent="0.3">
      <c r="A374" t="s">
        <v>19</v>
      </c>
      <c r="B374" t="s">
        <v>27</v>
      </c>
      <c r="C374" t="s">
        <v>5</v>
      </c>
      <c r="D374" t="s">
        <v>42</v>
      </c>
      <c r="E374" t="str">
        <f>IF(F374&lt;5,"Beginner",IF(F374&lt;=10,"Mid-Level","Senior"))</f>
        <v>Senior</v>
      </c>
      <c r="F374" s="2">
        <v>15</v>
      </c>
      <c r="G374" t="s">
        <v>55</v>
      </c>
      <c r="H374" t="s">
        <v>96</v>
      </c>
      <c r="I374" s="2" t="s">
        <v>85</v>
      </c>
      <c r="J374" s="2" t="s">
        <v>97</v>
      </c>
      <c r="K374" s="2">
        <v>3</v>
      </c>
      <c r="L374" s="2">
        <v>2018</v>
      </c>
      <c r="M374" t="s">
        <v>31</v>
      </c>
      <c r="N374" t="s">
        <v>63</v>
      </c>
      <c r="O374" t="s">
        <v>75</v>
      </c>
      <c r="P374">
        <v>6255</v>
      </c>
      <c r="Q374">
        <v>12</v>
      </c>
      <c r="R374" s="4">
        <f>(P374*(1+Q374/100))</f>
        <v>7005.6</v>
      </c>
    </row>
    <row r="375" spans="1:18" x14ac:dyDescent="0.3">
      <c r="A375" t="s">
        <v>19</v>
      </c>
      <c r="B375" t="s">
        <v>25</v>
      </c>
      <c r="C375" t="s">
        <v>34</v>
      </c>
      <c r="D375" t="s">
        <v>45</v>
      </c>
      <c r="E375" t="str">
        <f>IF(F375&lt;5,"Beginner",IF(F375&lt;=10,"Mid-Level","Senior"))</f>
        <v>Senior</v>
      </c>
      <c r="F375" s="2">
        <v>11</v>
      </c>
      <c r="G375" t="s">
        <v>52</v>
      </c>
      <c r="H375" t="s">
        <v>96</v>
      </c>
      <c r="I375" s="2" t="s">
        <v>85</v>
      </c>
      <c r="J375" s="2" t="s">
        <v>97</v>
      </c>
      <c r="K375" s="2">
        <v>3</v>
      </c>
      <c r="L375" s="2">
        <v>2025</v>
      </c>
      <c r="M375" t="s">
        <v>27</v>
      </c>
      <c r="N375" t="s">
        <v>67</v>
      </c>
      <c r="O375" t="s">
        <v>74</v>
      </c>
      <c r="P375">
        <v>6749</v>
      </c>
      <c r="Q375">
        <v>11</v>
      </c>
      <c r="R375" s="4">
        <f>(P375*(1+Q375/100))</f>
        <v>7491.39</v>
      </c>
    </row>
    <row r="376" spans="1:18" x14ac:dyDescent="0.3">
      <c r="A376" t="s">
        <v>19</v>
      </c>
      <c r="B376" t="s">
        <v>26</v>
      </c>
      <c r="C376" t="s">
        <v>5</v>
      </c>
      <c r="D376" t="s">
        <v>46</v>
      </c>
      <c r="E376" t="str">
        <f>IF(F376&lt;5,"Beginner",IF(F376&lt;=10,"Mid-Level","Senior"))</f>
        <v>Mid-Level</v>
      </c>
      <c r="F376" s="2">
        <v>10</v>
      </c>
      <c r="G376" t="s">
        <v>51</v>
      </c>
      <c r="H376" t="s">
        <v>106</v>
      </c>
      <c r="I376" s="2" t="s">
        <v>85</v>
      </c>
      <c r="J376" s="2" t="s">
        <v>120</v>
      </c>
      <c r="K376" s="2">
        <v>3</v>
      </c>
      <c r="L376" s="2">
        <v>2019</v>
      </c>
      <c r="M376" t="s">
        <v>27</v>
      </c>
      <c r="N376" t="s">
        <v>70</v>
      </c>
      <c r="O376" t="s">
        <v>77</v>
      </c>
      <c r="P376">
        <v>9662</v>
      </c>
      <c r="Q376">
        <v>14</v>
      </c>
      <c r="R376" s="4">
        <f>(P376*(1+Q376/100))</f>
        <v>11014.680000000002</v>
      </c>
    </row>
    <row r="377" spans="1:18" x14ac:dyDescent="0.3">
      <c r="A377" t="s">
        <v>19</v>
      </c>
      <c r="B377" t="s">
        <v>24</v>
      </c>
      <c r="C377" t="s">
        <v>34</v>
      </c>
      <c r="D377" t="s">
        <v>50</v>
      </c>
      <c r="E377" t="str">
        <f>IF(F377&lt;5,"Beginner",IF(F377&lt;=10,"Mid-Level","Senior"))</f>
        <v>Mid-Level</v>
      </c>
      <c r="F377" s="2">
        <v>8</v>
      </c>
      <c r="G377" t="s">
        <v>59</v>
      </c>
      <c r="H377" t="s">
        <v>106</v>
      </c>
      <c r="I377" s="2" t="s">
        <v>85</v>
      </c>
      <c r="J377" s="2" t="s">
        <v>120</v>
      </c>
      <c r="K377" s="2">
        <v>3</v>
      </c>
      <c r="L377" s="2">
        <v>2018</v>
      </c>
      <c r="M377" t="s">
        <v>31</v>
      </c>
      <c r="N377" t="s">
        <v>70</v>
      </c>
      <c r="O377" t="s">
        <v>76</v>
      </c>
      <c r="P377">
        <v>8340</v>
      </c>
      <c r="Q377">
        <v>9</v>
      </c>
      <c r="R377" s="4">
        <f>(P377*(1+Q377/100))</f>
        <v>9090.6</v>
      </c>
    </row>
    <row r="378" spans="1:18" x14ac:dyDescent="0.3">
      <c r="A378" t="s">
        <v>19</v>
      </c>
      <c r="B378" t="s">
        <v>30</v>
      </c>
      <c r="C378" t="s">
        <v>36</v>
      </c>
      <c r="D378" t="s">
        <v>49</v>
      </c>
      <c r="E378" t="str">
        <f>IF(F378&lt;5,"Beginner",IF(F378&lt;=10,"Mid-Level","Senior"))</f>
        <v>Senior</v>
      </c>
      <c r="F378" s="2">
        <v>16</v>
      </c>
      <c r="G378" t="s">
        <v>51</v>
      </c>
      <c r="H378" t="s">
        <v>106</v>
      </c>
      <c r="I378" s="2" t="s">
        <v>85</v>
      </c>
      <c r="J378" s="2" t="s">
        <v>120</v>
      </c>
      <c r="K378" s="2">
        <v>3</v>
      </c>
      <c r="L378" s="2">
        <v>2015</v>
      </c>
      <c r="M378" t="s">
        <v>27</v>
      </c>
      <c r="N378" t="s">
        <v>72</v>
      </c>
      <c r="O378" t="s">
        <v>73</v>
      </c>
      <c r="P378">
        <v>6972</v>
      </c>
      <c r="Q378">
        <v>8</v>
      </c>
      <c r="R378" s="4">
        <f>(P378*(1+Q378/100))</f>
        <v>7529.76</v>
      </c>
    </row>
    <row r="379" spans="1:18" x14ac:dyDescent="0.3">
      <c r="A379" t="s">
        <v>19</v>
      </c>
      <c r="B379" t="s">
        <v>27</v>
      </c>
      <c r="C379" t="s">
        <v>37</v>
      </c>
      <c r="D379" t="s">
        <v>44</v>
      </c>
      <c r="E379" t="str">
        <f>IF(F379&lt;5,"Beginner",IF(F379&lt;=10,"Mid-Level","Senior"))</f>
        <v>Mid-Level</v>
      </c>
      <c r="F379" s="2">
        <v>8</v>
      </c>
      <c r="G379" t="s">
        <v>58</v>
      </c>
      <c r="H379" t="s">
        <v>106</v>
      </c>
      <c r="I379" s="2" t="s">
        <v>85</v>
      </c>
      <c r="J379" s="2" t="s">
        <v>120</v>
      </c>
      <c r="K379" s="2">
        <v>3</v>
      </c>
      <c r="L379" s="2">
        <v>2019</v>
      </c>
      <c r="M379" t="s">
        <v>22</v>
      </c>
      <c r="N379" t="s">
        <v>63</v>
      </c>
      <c r="O379" t="s">
        <v>75</v>
      </c>
      <c r="P379">
        <v>9858</v>
      </c>
      <c r="Q379">
        <v>14</v>
      </c>
      <c r="R379" s="4">
        <f>(P379*(1+Q379/100))</f>
        <v>11238.12</v>
      </c>
    </row>
    <row r="380" spans="1:18" x14ac:dyDescent="0.3">
      <c r="A380" t="s">
        <v>19</v>
      </c>
      <c r="B380" t="s">
        <v>23</v>
      </c>
      <c r="C380" t="s">
        <v>39</v>
      </c>
      <c r="D380" t="s">
        <v>46</v>
      </c>
      <c r="E380" t="str">
        <f>IF(F380&lt;5,"Beginner",IF(F380&lt;=10,"Mid-Level","Senior"))</f>
        <v>Beginner</v>
      </c>
      <c r="F380" s="2">
        <v>1</v>
      </c>
      <c r="G380" t="s">
        <v>53</v>
      </c>
      <c r="H380" t="s">
        <v>96</v>
      </c>
      <c r="I380" s="2" t="s">
        <v>85</v>
      </c>
      <c r="J380" s="2" t="s">
        <v>97</v>
      </c>
      <c r="K380" s="2">
        <v>3</v>
      </c>
      <c r="L380" s="2">
        <v>2016</v>
      </c>
      <c r="M380" t="s">
        <v>24</v>
      </c>
      <c r="N380" t="s">
        <v>68</v>
      </c>
      <c r="O380" t="s">
        <v>75</v>
      </c>
      <c r="P380">
        <v>10866</v>
      </c>
      <c r="Q380">
        <v>11</v>
      </c>
      <c r="R380" s="4">
        <f>(P380*(1+Q380/100))</f>
        <v>12061.26</v>
      </c>
    </row>
    <row r="381" spans="1:18" x14ac:dyDescent="0.3">
      <c r="A381" t="s">
        <v>19</v>
      </c>
      <c r="B381" t="s">
        <v>23</v>
      </c>
      <c r="C381" t="s">
        <v>37</v>
      </c>
      <c r="D381" t="s">
        <v>43</v>
      </c>
      <c r="E381" t="str">
        <f>IF(F381&lt;5,"Beginner",IF(F381&lt;=10,"Mid-Level","Senior"))</f>
        <v>Senior</v>
      </c>
      <c r="F381" s="2">
        <v>17</v>
      </c>
      <c r="G381" t="s">
        <v>51</v>
      </c>
      <c r="H381" t="s">
        <v>96</v>
      </c>
      <c r="I381" s="2" t="s">
        <v>85</v>
      </c>
      <c r="J381" s="2" t="s">
        <v>97</v>
      </c>
      <c r="K381" s="2">
        <v>3</v>
      </c>
      <c r="L381" s="2">
        <v>2025</v>
      </c>
      <c r="M381" t="s">
        <v>26</v>
      </c>
      <c r="N381" t="s">
        <v>68</v>
      </c>
      <c r="O381" t="s">
        <v>77</v>
      </c>
      <c r="P381">
        <v>8644</v>
      </c>
      <c r="Q381">
        <v>9</v>
      </c>
      <c r="R381" s="4">
        <f>(P381*(1+Q381/100))</f>
        <v>9421.9600000000009</v>
      </c>
    </row>
    <row r="382" spans="1:18" x14ac:dyDescent="0.3">
      <c r="A382" t="s">
        <v>19</v>
      </c>
      <c r="B382" t="s">
        <v>30</v>
      </c>
      <c r="C382" t="s">
        <v>38</v>
      </c>
      <c r="D382" t="s">
        <v>43</v>
      </c>
      <c r="E382" t="str">
        <f>IF(F382&lt;5,"Beginner",IF(F382&lt;=10,"Mid-Level","Senior"))</f>
        <v>Mid-Level</v>
      </c>
      <c r="F382" s="2">
        <v>9</v>
      </c>
      <c r="G382" t="s">
        <v>56</v>
      </c>
      <c r="H382" t="s">
        <v>96</v>
      </c>
      <c r="I382" s="2" t="s">
        <v>85</v>
      </c>
      <c r="J382" s="2" t="s">
        <v>97</v>
      </c>
      <c r="K382" s="2">
        <v>3</v>
      </c>
      <c r="L382" s="2">
        <v>2020</v>
      </c>
      <c r="M382" t="s">
        <v>24</v>
      </c>
      <c r="N382" t="s">
        <v>68</v>
      </c>
      <c r="O382" t="s">
        <v>75</v>
      </c>
      <c r="P382">
        <v>9160</v>
      </c>
      <c r="Q382">
        <v>14</v>
      </c>
      <c r="R382" s="4">
        <f>(P382*(1+Q382/100))</f>
        <v>10442.400000000001</v>
      </c>
    </row>
    <row r="383" spans="1:18" x14ac:dyDescent="0.3">
      <c r="A383" t="s">
        <v>19</v>
      </c>
      <c r="B383" t="s">
        <v>30</v>
      </c>
      <c r="C383" t="s">
        <v>37</v>
      </c>
      <c r="D383" t="s">
        <v>43</v>
      </c>
      <c r="E383" t="str">
        <f>IF(F383&lt;5,"Beginner",IF(F383&lt;=10,"Mid-Level","Senior"))</f>
        <v>Senior</v>
      </c>
      <c r="F383" s="2">
        <v>16</v>
      </c>
      <c r="G383" t="s">
        <v>51</v>
      </c>
      <c r="H383" t="s">
        <v>96</v>
      </c>
      <c r="I383" s="2" t="s">
        <v>85</v>
      </c>
      <c r="J383" s="2" t="s">
        <v>97</v>
      </c>
      <c r="K383" s="2">
        <v>3</v>
      </c>
      <c r="L383" s="2">
        <v>2023</v>
      </c>
      <c r="M383" t="s">
        <v>24</v>
      </c>
      <c r="N383" t="s">
        <v>69</v>
      </c>
      <c r="O383" t="s">
        <v>74</v>
      </c>
      <c r="P383">
        <v>8898</v>
      </c>
      <c r="Q383">
        <v>10</v>
      </c>
      <c r="R383" s="4">
        <f>(P383*(1+Q383/100))</f>
        <v>9787.8000000000011</v>
      </c>
    </row>
    <row r="384" spans="1:18" x14ac:dyDescent="0.3">
      <c r="A384" t="s">
        <v>19</v>
      </c>
      <c r="B384" t="s">
        <v>27</v>
      </c>
      <c r="C384" t="s">
        <v>40</v>
      </c>
      <c r="D384" t="s">
        <v>50</v>
      </c>
      <c r="E384" t="str">
        <f>IF(F384&lt;5,"Beginner",IF(F384&lt;=10,"Mid-Level","Senior"))</f>
        <v>Senior</v>
      </c>
      <c r="F384" s="2">
        <v>16</v>
      </c>
      <c r="G384" t="s">
        <v>55</v>
      </c>
      <c r="H384" t="s">
        <v>96</v>
      </c>
      <c r="I384" s="2" t="s">
        <v>85</v>
      </c>
      <c r="J384" s="2" t="s">
        <v>97</v>
      </c>
      <c r="K384" s="2">
        <v>3</v>
      </c>
      <c r="L384" s="2">
        <v>2012</v>
      </c>
      <c r="M384" t="s">
        <v>24</v>
      </c>
      <c r="N384" t="s">
        <v>68</v>
      </c>
      <c r="O384" t="s">
        <v>73</v>
      </c>
      <c r="P384">
        <v>10122</v>
      </c>
      <c r="Q384">
        <v>11</v>
      </c>
      <c r="R384" s="4">
        <f>(P384*(1+Q384/100))</f>
        <v>11235.420000000002</v>
      </c>
    </row>
    <row r="385" spans="1:18" x14ac:dyDescent="0.3">
      <c r="A385" t="s">
        <v>19</v>
      </c>
      <c r="B385" t="s">
        <v>25</v>
      </c>
      <c r="C385" t="s">
        <v>39</v>
      </c>
      <c r="D385" t="s">
        <v>41</v>
      </c>
      <c r="E385" t="str">
        <f>IF(F385&lt;5,"Beginner",IF(F385&lt;=10,"Mid-Level","Senior"))</f>
        <v>Beginner</v>
      </c>
      <c r="F385" s="2">
        <v>2</v>
      </c>
      <c r="G385" t="s">
        <v>51</v>
      </c>
      <c r="H385" t="s">
        <v>96</v>
      </c>
      <c r="I385" s="2" t="s">
        <v>85</v>
      </c>
      <c r="J385" s="2" t="s">
        <v>97</v>
      </c>
      <c r="K385" s="2">
        <v>3</v>
      </c>
      <c r="L385" s="2">
        <v>2017</v>
      </c>
      <c r="M385" t="s">
        <v>22</v>
      </c>
      <c r="N385" t="s">
        <v>69</v>
      </c>
      <c r="O385" t="s">
        <v>75</v>
      </c>
      <c r="P385">
        <v>7577</v>
      </c>
      <c r="Q385">
        <v>5</v>
      </c>
      <c r="R385" s="4">
        <f>(P385*(1+Q385/100))</f>
        <v>7955.85</v>
      </c>
    </row>
    <row r="386" spans="1:18" x14ac:dyDescent="0.3">
      <c r="A386" t="s">
        <v>19</v>
      </c>
      <c r="B386" t="s">
        <v>25</v>
      </c>
      <c r="C386" t="s">
        <v>37</v>
      </c>
      <c r="D386" t="s">
        <v>49</v>
      </c>
      <c r="E386" t="str">
        <f>IF(F386&lt;5,"Beginner",IF(F386&lt;=10,"Mid-Level","Senior"))</f>
        <v>Mid-Level</v>
      </c>
      <c r="F386" s="2">
        <v>9</v>
      </c>
      <c r="G386" t="s">
        <v>51</v>
      </c>
      <c r="H386" t="s">
        <v>96</v>
      </c>
      <c r="I386" s="2" t="s">
        <v>85</v>
      </c>
      <c r="J386" s="2" t="s">
        <v>97</v>
      </c>
      <c r="K386" s="2">
        <v>3</v>
      </c>
      <c r="L386" s="2">
        <v>2015</v>
      </c>
      <c r="M386" t="s">
        <v>24</v>
      </c>
      <c r="N386" t="s">
        <v>64</v>
      </c>
      <c r="O386" t="s">
        <v>77</v>
      </c>
      <c r="P386">
        <v>9439</v>
      </c>
      <c r="Q386">
        <v>12</v>
      </c>
      <c r="R386" s="4">
        <f>(P386*(1+Q386/100))</f>
        <v>10571.68</v>
      </c>
    </row>
    <row r="387" spans="1:18" x14ac:dyDescent="0.3">
      <c r="A387" t="s">
        <v>19</v>
      </c>
      <c r="B387" t="s">
        <v>23</v>
      </c>
      <c r="C387" t="s">
        <v>33</v>
      </c>
      <c r="D387" t="s">
        <v>48</v>
      </c>
      <c r="E387" t="str">
        <f>IF(F387&lt;5,"Beginner",IF(F387&lt;=10,"Mid-Level","Senior"))</f>
        <v>Senior</v>
      </c>
      <c r="F387" s="2">
        <v>14</v>
      </c>
      <c r="G387" t="s">
        <v>54</v>
      </c>
      <c r="H387" t="s">
        <v>96</v>
      </c>
      <c r="I387" s="2" t="s">
        <v>85</v>
      </c>
      <c r="J387" s="2" t="s">
        <v>97</v>
      </c>
      <c r="K387" s="2">
        <v>3</v>
      </c>
      <c r="L387" s="2">
        <v>2024</v>
      </c>
      <c r="M387" t="s">
        <v>29</v>
      </c>
      <c r="N387" t="s">
        <v>71</v>
      </c>
      <c r="O387" t="s">
        <v>77</v>
      </c>
      <c r="P387">
        <v>9977</v>
      </c>
      <c r="Q387">
        <v>15</v>
      </c>
      <c r="R387" s="4">
        <f>(P387*(1+Q387/100))</f>
        <v>11473.55</v>
      </c>
    </row>
    <row r="388" spans="1:18" x14ac:dyDescent="0.3">
      <c r="A388" t="s">
        <v>19</v>
      </c>
      <c r="B388" t="s">
        <v>29</v>
      </c>
      <c r="C388" t="s">
        <v>34</v>
      </c>
      <c r="D388" t="s">
        <v>44</v>
      </c>
      <c r="E388" t="str">
        <f>IF(F388&lt;5,"Beginner",IF(F388&lt;=10,"Mid-Level","Senior"))</f>
        <v>Mid-Level</v>
      </c>
      <c r="F388" s="2">
        <v>10</v>
      </c>
      <c r="G388" t="s">
        <v>51</v>
      </c>
      <c r="H388" t="s">
        <v>106</v>
      </c>
      <c r="I388" s="2" t="s">
        <v>85</v>
      </c>
      <c r="J388" s="2" t="s">
        <v>120</v>
      </c>
      <c r="K388" s="2">
        <v>3</v>
      </c>
      <c r="L388" s="2">
        <v>2012</v>
      </c>
      <c r="M388" t="s">
        <v>31</v>
      </c>
      <c r="N388" t="s">
        <v>70</v>
      </c>
      <c r="O388" t="s">
        <v>75</v>
      </c>
      <c r="P388">
        <v>11203</v>
      </c>
      <c r="Q388">
        <v>5</v>
      </c>
      <c r="R388" s="4">
        <f>(P388*(1+Q388/100))</f>
        <v>11763.15</v>
      </c>
    </row>
    <row r="389" spans="1:18" x14ac:dyDescent="0.3">
      <c r="A389" t="s">
        <v>19</v>
      </c>
      <c r="B389" t="s">
        <v>24</v>
      </c>
      <c r="C389" t="s">
        <v>5</v>
      </c>
      <c r="D389" t="s">
        <v>43</v>
      </c>
      <c r="E389" t="str">
        <f>IF(F389&lt;5,"Beginner",IF(F389&lt;=10,"Mid-Level","Senior"))</f>
        <v>Mid-Level</v>
      </c>
      <c r="F389" s="2">
        <v>7</v>
      </c>
      <c r="G389" t="s">
        <v>57</v>
      </c>
      <c r="H389" t="s">
        <v>106</v>
      </c>
      <c r="I389" s="2" t="s">
        <v>85</v>
      </c>
      <c r="J389" s="2" t="s">
        <v>120</v>
      </c>
      <c r="K389" s="2">
        <v>3</v>
      </c>
      <c r="L389" s="2">
        <v>2010</v>
      </c>
      <c r="M389" t="s">
        <v>22</v>
      </c>
      <c r="N389" t="s">
        <v>66</v>
      </c>
      <c r="O389" t="s">
        <v>75</v>
      </c>
      <c r="P389">
        <v>5554</v>
      </c>
      <c r="Q389">
        <v>15</v>
      </c>
      <c r="R389" s="4">
        <f>(P389*(1+Q389/100))</f>
        <v>6387.0999999999995</v>
      </c>
    </row>
    <row r="390" spans="1:18" x14ac:dyDescent="0.3">
      <c r="A390" t="s">
        <v>19</v>
      </c>
      <c r="B390" t="s">
        <v>23</v>
      </c>
      <c r="C390" t="s">
        <v>37</v>
      </c>
      <c r="D390" t="s">
        <v>45</v>
      </c>
      <c r="E390" t="str">
        <f>IF(F390&lt;5,"Beginner",IF(F390&lt;=10,"Mid-Level","Senior"))</f>
        <v>Beginner</v>
      </c>
      <c r="F390" s="2">
        <v>4</v>
      </c>
      <c r="G390" t="s">
        <v>57</v>
      </c>
      <c r="H390" t="s">
        <v>96</v>
      </c>
      <c r="I390" s="2" t="s">
        <v>85</v>
      </c>
      <c r="J390" s="2" t="s">
        <v>97</v>
      </c>
      <c r="K390" s="2">
        <v>3</v>
      </c>
      <c r="L390" s="2">
        <v>2021</v>
      </c>
      <c r="M390" t="s">
        <v>26</v>
      </c>
      <c r="N390" t="s">
        <v>64</v>
      </c>
      <c r="O390" t="s">
        <v>74</v>
      </c>
      <c r="P390">
        <v>5550</v>
      </c>
      <c r="Q390">
        <v>12</v>
      </c>
      <c r="R390" s="4">
        <f>(P390*(1+Q390/100))</f>
        <v>6216.0000000000009</v>
      </c>
    </row>
    <row r="391" spans="1:18" x14ac:dyDescent="0.3">
      <c r="A391" t="s">
        <v>19</v>
      </c>
      <c r="B391" t="s">
        <v>27</v>
      </c>
      <c r="C391" t="s">
        <v>38</v>
      </c>
      <c r="D391" t="s">
        <v>43</v>
      </c>
      <c r="E391" t="str">
        <f>IF(F391&lt;5,"Beginner",IF(F391&lt;=10,"Mid-Level","Senior"))</f>
        <v>Mid-Level</v>
      </c>
      <c r="F391" s="2">
        <v>7</v>
      </c>
      <c r="G391" t="s">
        <v>56</v>
      </c>
      <c r="H391" t="s">
        <v>106</v>
      </c>
      <c r="I391" s="2" t="s">
        <v>85</v>
      </c>
      <c r="J391" s="2" t="s">
        <v>120</v>
      </c>
      <c r="K391" s="2">
        <v>3</v>
      </c>
      <c r="L391" s="2">
        <v>2023</v>
      </c>
      <c r="M391" t="s">
        <v>26</v>
      </c>
      <c r="N391" t="s">
        <v>72</v>
      </c>
      <c r="O391" t="s">
        <v>75</v>
      </c>
      <c r="P391">
        <v>8295</v>
      </c>
      <c r="Q391">
        <v>9</v>
      </c>
      <c r="R391" s="4">
        <f>(P391*(1+Q391/100))</f>
        <v>9041.5500000000011</v>
      </c>
    </row>
    <row r="392" spans="1:18" x14ac:dyDescent="0.3">
      <c r="A392" t="s">
        <v>19</v>
      </c>
      <c r="B392" t="s">
        <v>30</v>
      </c>
      <c r="C392" t="s">
        <v>35</v>
      </c>
      <c r="D392" t="s">
        <v>44</v>
      </c>
      <c r="E392" t="str">
        <f>IF(F392&lt;5,"Beginner",IF(F392&lt;=10,"Mid-Level","Senior"))</f>
        <v>Beginner</v>
      </c>
      <c r="F392" s="2">
        <v>1</v>
      </c>
      <c r="G392" t="s">
        <v>56</v>
      </c>
      <c r="H392" t="s">
        <v>96</v>
      </c>
      <c r="I392" s="2" t="s">
        <v>85</v>
      </c>
      <c r="J392" s="2" t="s">
        <v>97</v>
      </c>
      <c r="K392" s="2">
        <v>3</v>
      </c>
      <c r="L392" s="2">
        <v>2025</v>
      </c>
      <c r="M392" t="s">
        <v>24</v>
      </c>
      <c r="N392" t="s">
        <v>70</v>
      </c>
      <c r="O392" t="s">
        <v>74</v>
      </c>
      <c r="P392">
        <v>6800</v>
      </c>
      <c r="Q392">
        <v>5</v>
      </c>
      <c r="R392" s="4">
        <f>(P392*(1+Q392/100))</f>
        <v>7140</v>
      </c>
    </row>
    <row r="393" spans="1:18" x14ac:dyDescent="0.3">
      <c r="A393" t="s">
        <v>19</v>
      </c>
      <c r="B393" t="s">
        <v>30</v>
      </c>
      <c r="C393" t="s">
        <v>32</v>
      </c>
      <c r="D393" t="s">
        <v>49</v>
      </c>
      <c r="E393" t="str">
        <f>IF(F393&lt;5,"Beginner",IF(F393&lt;=10,"Mid-Level","Senior"))</f>
        <v>Senior</v>
      </c>
      <c r="F393" s="2">
        <v>15</v>
      </c>
      <c r="G393" t="s">
        <v>56</v>
      </c>
      <c r="H393" t="s">
        <v>96</v>
      </c>
      <c r="I393" s="2" t="s">
        <v>85</v>
      </c>
      <c r="J393" s="2" t="s">
        <v>97</v>
      </c>
      <c r="K393" s="2">
        <v>3</v>
      </c>
      <c r="L393" s="2">
        <v>2018</v>
      </c>
      <c r="M393" t="s">
        <v>29</v>
      </c>
      <c r="N393" t="s">
        <v>64</v>
      </c>
      <c r="O393" t="s">
        <v>76</v>
      </c>
      <c r="P393">
        <v>9766</v>
      </c>
      <c r="Q393">
        <v>12</v>
      </c>
      <c r="R393" s="4">
        <f>(P393*(1+Q393/100))</f>
        <v>10937.920000000002</v>
      </c>
    </row>
    <row r="394" spans="1:18" x14ac:dyDescent="0.3">
      <c r="A394" t="s">
        <v>19</v>
      </c>
      <c r="B394" t="s">
        <v>22</v>
      </c>
      <c r="C394" t="s">
        <v>39</v>
      </c>
      <c r="D394" t="s">
        <v>44</v>
      </c>
      <c r="E394" t="str">
        <f>IF(F394&lt;5,"Beginner",IF(F394&lt;=10,"Mid-Level","Senior"))</f>
        <v>Senior</v>
      </c>
      <c r="F394" s="2">
        <v>11</v>
      </c>
      <c r="G394" t="s">
        <v>56</v>
      </c>
      <c r="H394" t="s">
        <v>106</v>
      </c>
      <c r="I394" s="2" t="s">
        <v>85</v>
      </c>
      <c r="J394" s="2" t="s">
        <v>120</v>
      </c>
      <c r="K394" s="2">
        <v>3</v>
      </c>
      <c r="L394" s="2">
        <v>2012</v>
      </c>
      <c r="M394" t="s">
        <v>28</v>
      </c>
      <c r="N394" t="s">
        <v>64</v>
      </c>
      <c r="O394" t="s">
        <v>74</v>
      </c>
      <c r="P394">
        <v>5028</v>
      </c>
      <c r="Q394">
        <v>9</v>
      </c>
      <c r="R394" s="4">
        <f>(P394*(1+Q394/100))</f>
        <v>5480.52</v>
      </c>
    </row>
    <row r="395" spans="1:18" x14ac:dyDescent="0.3">
      <c r="A395" t="s">
        <v>19</v>
      </c>
      <c r="B395" t="s">
        <v>29</v>
      </c>
      <c r="C395" t="s">
        <v>39</v>
      </c>
      <c r="D395" t="s">
        <v>48</v>
      </c>
      <c r="E395" t="str">
        <f>IF(F395&lt;5,"Beginner",IF(F395&lt;=10,"Mid-Level","Senior"))</f>
        <v>Senior</v>
      </c>
      <c r="F395" s="2">
        <v>14</v>
      </c>
      <c r="G395" t="s">
        <v>55</v>
      </c>
      <c r="H395" t="s">
        <v>96</v>
      </c>
      <c r="I395" s="2" t="s">
        <v>85</v>
      </c>
      <c r="J395" s="2" t="s">
        <v>97</v>
      </c>
      <c r="K395" s="2">
        <v>3</v>
      </c>
      <c r="L395" s="2">
        <v>2018</v>
      </c>
      <c r="M395" t="s">
        <v>31</v>
      </c>
      <c r="N395" t="s">
        <v>63</v>
      </c>
      <c r="O395" t="s">
        <v>75</v>
      </c>
      <c r="P395">
        <v>5532</v>
      </c>
      <c r="Q395">
        <v>12</v>
      </c>
      <c r="R395" s="4">
        <f>(P395*(1+Q395/100))</f>
        <v>6195.84</v>
      </c>
    </row>
    <row r="396" spans="1:18" x14ac:dyDescent="0.3">
      <c r="A396" t="s">
        <v>16</v>
      </c>
      <c r="B396" t="s">
        <v>26</v>
      </c>
      <c r="C396" t="s">
        <v>36</v>
      </c>
      <c r="D396" t="s">
        <v>43</v>
      </c>
      <c r="E396" t="str">
        <f>IF(F396&lt;5,"Beginner",IF(F396&lt;=10,"Mid-Level","Senior"))</f>
        <v>Senior</v>
      </c>
      <c r="F396" s="2">
        <v>19</v>
      </c>
      <c r="G396" t="s">
        <v>54</v>
      </c>
      <c r="H396" t="s">
        <v>89</v>
      </c>
      <c r="I396" s="2" t="s">
        <v>90</v>
      </c>
      <c r="J396" s="2" t="s">
        <v>134</v>
      </c>
      <c r="K396" s="2">
        <v>2</v>
      </c>
      <c r="L396" s="2">
        <v>2018</v>
      </c>
      <c r="M396" t="s">
        <v>31</v>
      </c>
      <c r="N396" t="s">
        <v>67</v>
      </c>
      <c r="O396" t="s">
        <v>76</v>
      </c>
      <c r="P396">
        <v>9335</v>
      </c>
      <c r="Q396">
        <v>9</v>
      </c>
      <c r="R396" s="4">
        <f>(P396*(1+Q396/100))</f>
        <v>10175.150000000001</v>
      </c>
    </row>
    <row r="397" spans="1:18" x14ac:dyDescent="0.3">
      <c r="A397" t="s">
        <v>16</v>
      </c>
      <c r="B397" t="s">
        <v>22</v>
      </c>
      <c r="C397" t="s">
        <v>36</v>
      </c>
      <c r="D397" t="s">
        <v>41</v>
      </c>
      <c r="E397" t="str">
        <f>IF(F397&lt;5,"Beginner",IF(F397&lt;=10,"Mid-Level","Senior"))</f>
        <v>Senior</v>
      </c>
      <c r="F397" s="2">
        <v>16</v>
      </c>
      <c r="G397" t="s">
        <v>57</v>
      </c>
      <c r="H397" t="s">
        <v>89</v>
      </c>
      <c r="I397" s="2" t="s">
        <v>90</v>
      </c>
      <c r="J397" s="2" t="s">
        <v>134</v>
      </c>
      <c r="K397" s="2">
        <v>2</v>
      </c>
      <c r="L397" s="2">
        <v>2016</v>
      </c>
      <c r="M397" t="s">
        <v>29</v>
      </c>
      <c r="N397" t="s">
        <v>66</v>
      </c>
      <c r="O397" t="s">
        <v>74</v>
      </c>
      <c r="P397">
        <v>11148</v>
      </c>
      <c r="Q397">
        <v>8</v>
      </c>
      <c r="R397" s="4">
        <f>(P397*(1+Q397/100))</f>
        <v>12039.84</v>
      </c>
    </row>
    <row r="398" spans="1:18" x14ac:dyDescent="0.3">
      <c r="A398" t="s">
        <v>16</v>
      </c>
      <c r="B398" t="s">
        <v>24</v>
      </c>
      <c r="C398" t="s">
        <v>37</v>
      </c>
      <c r="D398" t="s">
        <v>49</v>
      </c>
      <c r="E398" t="str">
        <f>IF(F398&lt;5,"Beginner",IF(F398&lt;=10,"Mid-Level","Senior"))</f>
        <v>Senior</v>
      </c>
      <c r="F398" s="2">
        <v>11</v>
      </c>
      <c r="G398" t="s">
        <v>59</v>
      </c>
      <c r="H398" t="s">
        <v>89</v>
      </c>
      <c r="I398" s="2" t="s">
        <v>90</v>
      </c>
      <c r="J398" s="2" t="s">
        <v>134</v>
      </c>
      <c r="K398" s="2">
        <v>2</v>
      </c>
      <c r="L398" s="2">
        <v>2023</v>
      </c>
      <c r="M398" t="s">
        <v>22</v>
      </c>
      <c r="N398" t="s">
        <v>67</v>
      </c>
      <c r="O398" t="s">
        <v>73</v>
      </c>
      <c r="P398">
        <v>7619</v>
      </c>
      <c r="Q398">
        <v>10</v>
      </c>
      <c r="R398" s="4">
        <f>(P398*(1+Q398/100))</f>
        <v>8380.9000000000015</v>
      </c>
    </row>
    <row r="399" spans="1:18" x14ac:dyDescent="0.3">
      <c r="A399" t="s">
        <v>16</v>
      </c>
      <c r="B399" t="s">
        <v>24</v>
      </c>
      <c r="C399" t="s">
        <v>37</v>
      </c>
      <c r="D399" t="s">
        <v>45</v>
      </c>
      <c r="E399" t="str">
        <f>IF(F399&lt;5,"Beginner",IF(F399&lt;=10,"Mid-Level","Senior"))</f>
        <v>Mid-Level</v>
      </c>
      <c r="F399" s="2">
        <v>10</v>
      </c>
      <c r="G399" t="s">
        <v>55</v>
      </c>
      <c r="H399" t="s">
        <v>89</v>
      </c>
      <c r="I399" s="2" t="s">
        <v>90</v>
      </c>
      <c r="J399" s="2" t="s">
        <v>134</v>
      </c>
      <c r="K399" s="2">
        <v>2</v>
      </c>
      <c r="L399" s="2">
        <v>2023</v>
      </c>
      <c r="M399" t="s">
        <v>24</v>
      </c>
      <c r="N399" t="s">
        <v>72</v>
      </c>
      <c r="O399" t="s">
        <v>76</v>
      </c>
      <c r="P399">
        <v>10836</v>
      </c>
      <c r="Q399">
        <v>9</v>
      </c>
      <c r="R399" s="4">
        <f>(P399*(1+Q399/100))</f>
        <v>11811.240000000002</v>
      </c>
    </row>
    <row r="400" spans="1:18" x14ac:dyDescent="0.3">
      <c r="A400" t="s">
        <v>16</v>
      </c>
      <c r="B400" t="s">
        <v>27</v>
      </c>
      <c r="C400" t="s">
        <v>32</v>
      </c>
      <c r="D400" t="s">
        <v>45</v>
      </c>
      <c r="E400" t="str">
        <f>IF(F400&lt;5,"Beginner",IF(F400&lt;=10,"Mid-Level","Senior"))</f>
        <v>Mid-Level</v>
      </c>
      <c r="F400" s="2">
        <v>6</v>
      </c>
      <c r="G400" t="s">
        <v>56</v>
      </c>
      <c r="H400" t="s">
        <v>89</v>
      </c>
      <c r="I400" s="2" t="s">
        <v>90</v>
      </c>
      <c r="J400" s="2" t="s">
        <v>134</v>
      </c>
      <c r="K400" s="2">
        <v>2</v>
      </c>
      <c r="L400" s="2">
        <v>2013</v>
      </c>
      <c r="M400" t="s">
        <v>28</v>
      </c>
      <c r="N400" t="s">
        <v>72</v>
      </c>
      <c r="O400" t="s">
        <v>75</v>
      </c>
      <c r="P400">
        <v>10678</v>
      </c>
      <c r="Q400">
        <v>7</v>
      </c>
      <c r="R400" s="4">
        <f>(P400*(1+Q400/100))</f>
        <v>11425.460000000001</v>
      </c>
    </row>
    <row r="401" spans="1:18" x14ac:dyDescent="0.3">
      <c r="A401" t="s">
        <v>16</v>
      </c>
      <c r="B401" t="s">
        <v>27</v>
      </c>
      <c r="C401" t="s">
        <v>5</v>
      </c>
      <c r="D401" t="s">
        <v>44</v>
      </c>
      <c r="E401" t="str">
        <f>IF(F401&lt;5,"Beginner",IF(F401&lt;=10,"Mid-Level","Senior"))</f>
        <v>Senior</v>
      </c>
      <c r="F401" s="2">
        <v>12</v>
      </c>
      <c r="G401" t="s">
        <v>52</v>
      </c>
      <c r="H401" t="s">
        <v>89</v>
      </c>
      <c r="I401" s="2" t="s">
        <v>90</v>
      </c>
      <c r="J401" s="2" t="s">
        <v>134</v>
      </c>
      <c r="K401" s="2">
        <v>2</v>
      </c>
      <c r="L401" s="2">
        <v>2010</v>
      </c>
      <c r="M401" t="s">
        <v>23</v>
      </c>
      <c r="N401" t="s">
        <v>69</v>
      </c>
      <c r="O401" t="s">
        <v>74</v>
      </c>
      <c r="P401">
        <v>6640</v>
      </c>
      <c r="Q401">
        <v>5</v>
      </c>
      <c r="R401" s="4">
        <f>(P401*(1+Q401/100))</f>
        <v>6972</v>
      </c>
    </row>
    <row r="402" spans="1:18" x14ac:dyDescent="0.3">
      <c r="A402" t="s">
        <v>16</v>
      </c>
      <c r="B402" t="s">
        <v>30</v>
      </c>
      <c r="C402" t="s">
        <v>37</v>
      </c>
      <c r="D402" t="s">
        <v>49</v>
      </c>
      <c r="E402" t="str">
        <f>IF(F402&lt;5,"Beginner",IF(F402&lt;=10,"Mid-Level","Senior"))</f>
        <v>Senior</v>
      </c>
      <c r="F402" s="2">
        <v>18</v>
      </c>
      <c r="G402" t="s">
        <v>54</v>
      </c>
      <c r="H402" t="s">
        <v>89</v>
      </c>
      <c r="I402" s="2" t="s">
        <v>90</v>
      </c>
      <c r="J402" s="2" t="s">
        <v>134</v>
      </c>
      <c r="K402" s="2">
        <v>2</v>
      </c>
      <c r="L402" s="2">
        <v>2014</v>
      </c>
      <c r="M402" t="s">
        <v>30</v>
      </c>
      <c r="N402" t="s">
        <v>71</v>
      </c>
      <c r="O402" t="s">
        <v>77</v>
      </c>
      <c r="P402">
        <v>6428</v>
      </c>
      <c r="Q402">
        <v>10</v>
      </c>
      <c r="R402" s="4">
        <f>(P402*(1+Q402/100))</f>
        <v>7070.8</v>
      </c>
    </row>
    <row r="403" spans="1:18" x14ac:dyDescent="0.3">
      <c r="A403" t="s">
        <v>16</v>
      </c>
      <c r="B403" t="s">
        <v>25</v>
      </c>
      <c r="C403" t="s">
        <v>40</v>
      </c>
      <c r="D403" t="s">
        <v>42</v>
      </c>
      <c r="E403" t="str">
        <f>IF(F403&lt;5,"Beginner",IF(F403&lt;=10,"Mid-Level","Senior"))</f>
        <v>Beginner</v>
      </c>
      <c r="F403" s="2">
        <v>2</v>
      </c>
      <c r="G403" t="s">
        <v>51</v>
      </c>
      <c r="H403" t="s">
        <v>89</v>
      </c>
      <c r="I403" s="2" t="s">
        <v>90</v>
      </c>
      <c r="J403" s="2" t="s">
        <v>134</v>
      </c>
      <c r="K403" s="2">
        <v>2</v>
      </c>
      <c r="L403" s="2">
        <v>2016</v>
      </c>
      <c r="M403" t="s">
        <v>27</v>
      </c>
      <c r="N403" t="s">
        <v>71</v>
      </c>
      <c r="O403" t="s">
        <v>73</v>
      </c>
      <c r="P403">
        <v>8148</v>
      </c>
      <c r="Q403">
        <v>8</v>
      </c>
      <c r="R403" s="4">
        <f>(P403*(1+Q403/100))</f>
        <v>8799.84</v>
      </c>
    </row>
    <row r="404" spans="1:18" x14ac:dyDescent="0.3">
      <c r="A404" t="s">
        <v>16</v>
      </c>
      <c r="B404" t="s">
        <v>31</v>
      </c>
      <c r="C404" t="s">
        <v>37</v>
      </c>
      <c r="D404" t="s">
        <v>46</v>
      </c>
      <c r="E404" t="str">
        <f>IF(F404&lt;5,"Beginner",IF(F404&lt;=10,"Mid-Level","Senior"))</f>
        <v>Senior</v>
      </c>
      <c r="F404" s="2">
        <v>11</v>
      </c>
      <c r="G404" t="s">
        <v>56</v>
      </c>
      <c r="H404" t="s">
        <v>89</v>
      </c>
      <c r="I404" s="2" t="s">
        <v>90</v>
      </c>
      <c r="J404" s="2" t="s">
        <v>134</v>
      </c>
      <c r="K404" s="2">
        <v>2</v>
      </c>
      <c r="L404" s="2">
        <v>2023</v>
      </c>
      <c r="M404" t="s">
        <v>22</v>
      </c>
      <c r="N404" t="s">
        <v>63</v>
      </c>
      <c r="O404" t="s">
        <v>73</v>
      </c>
      <c r="P404">
        <v>7272</v>
      </c>
      <c r="Q404">
        <v>9</v>
      </c>
      <c r="R404" s="4">
        <f>(P404*(1+Q404/100))</f>
        <v>7926.4800000000005</v>
      </c>
    </row>
    <row r="405" spans="1:18" x14ac:dyDescent="0.3">
      <c r="A405" t="s">
        <v>16</v>
      </c>
      <c r="B405" t="s">
        <v>25</v>
      </c>
      <c r="C405" t="s">
        <v>34</v>
      </c>
      <c r="D405" t="s">
        <v>43</v>
      </c>
      <c r="E405" t="str">
        <f>IF(F405&lt;5,"Beginner",IF(F405&lt;=10,"Mid-Level","Senior"))</f>
        <v>Mid-Level</v>
      </c>
      <c r="F405" s="2">
        <v>9</v>
      </c>
      <c r="G405" t="s">
        <v>56</v>
      </c>
      <c r="H405" t="s">
        <v>89</v>
      </c>
      <c r="I405" s="2" t="s">
        <v>90</v>
      </c>
      <c r="J405" s="2" t="s">
        <v>134</v>
      </c>
      <c r="K405" s="2">
        <v>2</v>
      </c>
      <c r="L405" s="2">
        <v>2022</v>
      </c>
      <c r="M405" t="s">
        <v>27</v>
      </c>
      <c r="N405" t="s">
        <v>69</v>
      </c>
      <c r="O405" t="s">
        <v>77</v>
      </c>
      <c r="P405">
        <v>9986</v>
      </c>
      <c r="Q405">
        <v>11</v>
      </c>
      <c r="R405" s="4">
        <f>(P405*(1+Q405/100))</f>
        <v>11084.460000000001</v>
      </c>
    </row>
    <row r="406" spans="1:18" x14ac:dyDescent="0.3">
      <c r="A406" t="s">
        <v>16</v>
      </c>
      <c r="B406" t="s">
        <v>31</v>
      </c>
      <c r="C406" t="s">
        <v>38</v>
      </c>
      <c r="D406" t="s">
        <v>47</v>
      </c>
      <c r="E406" t="str">
        <f>IF(F406&lt;5,"Beginner",IF(F406&lt;=10,"Mid-Level","Senior"))</f>
        <v>Mid-Level</v>
      </c>
      <c r="F406" s="2">
        <v>5</v>
      </c>
      <c r="G406" t="s">
        <v>52</v>
      </c>
      <c r="H406" t="s">
        <v>89</v>
      </c>
      <c r="I406" s="2" t="s">
        <v>90</v>
      </c>
      <c r="J406" s="2" t="s">
        <v>134</v>
      </c>
      <c r="K406" s="2">
        <v>2</v>
      </c>
      <c r="L406" s="2">
        <v>2011</v>
      </c>
      <c r="M406" t="s">
        <v>28</v>
      </c>
      <c r="N406" t="s">
        <v>66</v>
      </c>
      <c r="O406" t="s">
        <v>74</v>
      </c>
      <c r="P406">
        <v>10626</v>
      </c>
      <c r="Q406">
        <v>6</v>
      </c>
      <c r="R406" s="4">
        <f>(P406*(1+Q406/100))</f>
        <v>11263.560000000001</v>
      </c>
    </row>
    <row r="407" spans="1:18" x14ac:dyDescent="0.3">
      <c r="A407" t="s">
        <v>16</v>
      </c>
      <c r="B407" t="s">
        <v>24</v>
      </c>
      <c r="C407" t="s">
        <v>34</v>
      </c>
      <c r="D407" t="s">
        <v>49</v>
      </c>
      <c r="E407" t="str">
        <f>IF(F407&lt;5,"Beginner",IF(F407&lt;=10,"Mid-Level","Senior"))</f>
        <v>Senior</v>
      </c>
      <c r="F407" s="2">
        <v>16</v>
      </c>
      <c r="G407" t="s">
        <v>57</v>
      </c>
      <c r="H407" t="s">
        <v>89</v>
      </c>
      <c r="I407" s="2" t="s">
        <v>90</v>
      </c>
      <c r="J407" s="2" t="s">
        <v>134</v>
      </c>
      <c r="K407" s="2">
        <v>2</v>
      </c>
      <c r="L407" s="2">
        <v>2011</v>
      </c>
      <c r="M407" t="s">
        <v>24</v>
      </c>
      <c r="N407" t="s">
        <v>63</v>
      </c>
      <c r="O407" t="s">
        <v>73</v>
      </c>
      <c r="P407">
        <v>6004</v>
      </c>
      <c r="Q407">
        <v>5</v>
      </c>
      <c r="R407" s="4">
        <f>(P407*(1+Q407/100))</f>
        <v>6304.2</v>
      </c>
    </row>
    <row r="408" spans="1:18" x14ac:dyDescent="0.3">
      <c r="A408" t="s">
        <v>16</v>
      </c>
      <c r="B408" t="s">
        <v>28</v>
      </c>
      <c r="C408" t="s">
        <v>38</v>
      </c>
      <c r="D408" t="s">
        <v>44</v>
      </c>
      <c r="E408" t="str">
        <f>IF(F408&lt;5,"Beginner",IF(F408&lt;=10,"Mid-Level","Senior"))</f>
        <v>Senior</v>
      </c>
      <c r="F408" s="2">
        <v>17</v>
      </c>
      <c r="G408" t="s">
        <v>51</v>
      </c>
      <c r="H408" t="s">
        <v>89</v>
      </c>
      <c r="I408" s="2" t="s">
        <v>90</v>
      </c>
      <c r="J408" s="2" t="s">
        <v>134</v>
      </c>
      <c r="K408" s="2">
        <v>2</v>
      </c>
      <c r="L408" s="2">
        <v>2011</v>
      </c>
      <c r="M408" t="s">
        <v>27</v>
      </c>
      <c r="N408" t="s">
        <v>66</v>
      </c>
      <c r="O408" t="s">
        <v>73</v>
      </c>
      <c r="P408">
        <v>10720</v>
      </c>
      <c r="Q408">
        <v>8</v>
      </c>
      <c r="R408" s="4">
        <f>(P408*(1+Q408/100))</f>
        <v>11577.6</v>
      </c>
    </row>
    <row r="409" spans="1:18" x14ac:dyDescent="0.3">
      <c r="A409" t="s">
        <v>16</v>
      </c>
      <c r="B409" t="s">
        <v>30</v>
      </c>
      <c r="C409" t="s">
        <v>36</v>
      </c>
      <c r="D409" t="s">
        <v>41</v>
      </c>
      <c r="E409" t="str">
        <f>IF(F409&lt;5,"Beginner",IF(F409&lt;=10,"Mid-Level","Senior"))</f>
        <v>Senior</v>
      </c>
      <c r="F409" s="2">
        <v>12</v>
      </c>
      <c r="G409" t="s">
        <v>54</v>
      </c>
      <c r="H409" t="s">
        <v>89</v>
      </c>
      <c r="I409" s="2" t="s">
        <v>90</v>
      </c>
      <c r="J409" s="2" t="s">
        <v>134</v>
      </c>
      <c r="K409" s="2">
        <v>2</v>
      </c>
      <c r="L409" s="2">
        <v>2012</v>
      </c>
      <c r="M409" t="s">
        <v>26</v>
      </c>
      <c r="N409" t="s">
        <v>66</v>
      </c>
      <c r="O409" t="s">
        <v>76</v>
      </c>
      <c r="P409">
        <v>5705</v>
      </c>
      <c r="Q409">
        <v>11</v>
      </c>
      <c r="R409" s="4">
        <f>(P409*(1+Q409/100))</f>
        <v>6332.55</v>
      </c>
    </row>
    <row r="410" spans="1:18" x14ac:dyDescent="0.3">
      <c r="A410" t="s">
        <v>16</v>
      </c>
      <c r="B410" t="s">
        <v>26</v>
      </c>
      <c r="C410" t="s">
        <v>40</v>
      </c>
      <c r="D410" t="s">
        <v>50</v>
      </c>
      <c r="E410" t="str">
        <f>IF(F410&lt;5,"Beginner",IF(F410&lt;=10,"Mid-Level","Senior"))</f>
        <v>Senior</v>
      </c>
      <c r="F410" s="2">
        <v>16</v>
      </c>
      <c r="G410" t="s">
        <v>56</v>
      </c>
      <c r="H410" t="s">
        <v>89</v>
      </c>
      <c r="I410" s="2" t="s">
        <v>90</v>
      </c>
      <c r="J410" s="2" t="s">
        <v>134</v>
      </c>
      <c r="K410" s="2">
        <v>2</v>
      </c>
      <c r="L410" s="2">
        <v>2018</v>
      </c>
      <c r="M410" t="s">
        <v>23</v>
      </c>
      <c r="N410" t="s">
        <v>69</v>
      </c>
      <c r="O410" t="s">
        <v>76</v>
      </c>
      <c r="P410">
        <v>7754</v>
      </c>
      <c r="Q410">
        <v>7</v>
      </c>
      <c r="R410" s="4">
        <f>(P410*(1+Q410/100))</f>
        <v>8296.7800000000007</v>
      </c>
    </row>
    <row r="411" spans="1:18" x14ac:dyDescent="0.3">
      <c r="A411" t="s">
        <v>16</v>
      </c>
      <c r="B411" t="s">
        <v>22</v>
      </c>
      <c r="C411" t="s">
        <v>5</v>
      </c>
      <c r="D411" t="s">
        <v>46</v>
      </c>
      <c r="E411" t="str">
        <f>IF(F411&lt;5,"Beginner",IF(F411&lt;=10,"Mid-Level","Senior"))</f>
        <v>Senior</v>
      </c>
      <c r="F411" s="2">
        <v>19</v>
      </c>
      <c r="G411" t="s">
        <v>54</v>
      </c>
      <c r="H411" t="s">
        <v>89</v>
      </c>
      <c r="I411" s="2" t="s">
        <v>90</v>
      </c>
      <c r="J411" s="2" t="s">
        <v>134</v>
      </c>
      <c r="K411" s="2">
        <v>2</v>
      </c>
      <c r="L411" s="2">
        <v>2010</v>
      </c>
      <c r="M411" t="s">
        <v>22</v>
      </c>
      <c r="N411" t="s">
        <v>63</v>
      </c>
      <c r="O411" t="s">
        <v>73</v>
      </c>
      <c r="P411">
        <v>5654</v>
      </c>
      <c r="Q411">
        <v>10</v>
      </c>
      <c r="R411" s="4">
        <f>(P411*(1+Q411/100))</f>
        <v>6219.4000000000005</v>
      </c>
    </row>
    <row r="412" spans="1:18" x14ac:dyDescent="0.3">
      <c r="A412" t="s">
        <v>16</v>
      </c>
      <c r="B412" t="s">
        <v>30</v>
      </c>
      <c r="C412" t="s">
        <v>33</v>
      </c>
      <c r="D412" t="s">
        <v>42</v>
      </c>
      <c r="E412" t="str">
        <f>IF(F412&lt;5,"Beginner",IF(F412&lt;=10,"Mid-Level","Senior"))</f>
        <v>Mid-Level</v>
      </c>
      <c r="F412" s="2">
        <v>6</v>
      </c>
      <c r="G412" t="s">
        <v>53</v>
      </c>
      <c r="H412" t="s">
        <v>89</v>
      </c>
      <c r="I412" s="2" t="s">
        <v>90</v>
      </c>
      <c r="J412" s="2" t="s">
        <v>134</v>
      </c>
      <c r="K412" s="2">
        <v>2</v>
      </c>
      <c r="L412" s="2">
        <v>2024</v>
      </c>
      <c r="M412" t="s">
        <v>26</v>
      </c>
      <c r="N412" t="s">
        <v>65</v>
      </c>
      <c r="O412" t="s">
        <v>75</v>
      </c>
      <c r="P412">
        <v>7904</v>
      </c>
      <c r="Q412">
        <v>7</v>
      </c>
      <c r="R412" s="4">
        <f>(P412*(1+Q412/100))</f>
        <v>8457.2800000000007</v>
      </c>
    </row>
    <row r="413" spans="1:18" x14ac:dyDescent="0.3">
      <c r="A413" t="s">
        <v>16</v>
      </c>
      <c r="B413" t="s">
        <v>31</v>
      </c>
      <c r="C413" t="s">
        <v>37</v>
      </c>
      <c r="D413" t="s">
        <v>45</v>
      </c>
      <c r="E413" t="str">
        <f>IF(F413&lt;5,"Beginner",IF(F413&lt;=10,"Mid-Level","Senior"))</f>
        <v>Mid-Level</v>
      </c>
      <c r="F413" s="2">
        <v>7</v>
      </c>
      <c r="G413" t="s">
        <v>55</v>
      </c>
      <c r="H413" t="s">
        <v>89</v>
      </c>
      <c r="I413" s="2" t="s">
        <v>90</v>
      </c>
      <c r="J413" s="2" t="s">
        <v>134</v>
      </c>
      <c r="K413" s="2">
        <v>2</v>
      </c>
      <c r="L413" s="2">
        <v>2025</v>
      </c>
      <c r="M413" t="s">
        <v>22</v>
      </c>
      <c r="N413" t="s">
        <v>71</v>
      </c>
      <c r="O413" t="s">
        <v>76</v>
      </c>
      <c r="P413">
        <v>11841</v>
      </c>
      <c r="Q413">
        <v>11</v>
      </c>
      <c r="R413" s="4">
        <f>(P413*(1+Q413/100))</f>
        <v>13143.510000000002</v>
      </c>
    </row>
    <row r="414" spans="1:18" x14ac:dyDescent="0.3">
      <c r="A414" t="s">
        <v>16</v>
      </c>
      <c r="B414" t="s">
        <v>25</v>
      </c>
      <c r="C414" t="s">
        <v>39</v>
      </c>
      <c r="D414" t="s">
        <v>42</v>
      </c>
      <c r="E414" t="str">
        <f>IF(F414&lt;5,"Beginner",IF(F414&lt;=10,"Mid-Level","Senior"))</f>
        <v>Senior</v>
      </c>
      <c r="F414" s="2">
        <v>14</v>
      </c>
      <c r="G414" t="s">
        <v>59</v>
      </c>
      <c r="H414" t="s">
        <v>89</v>
      </c>
      <c r="I414" s="2" t="s">
        <v>90</v>
      </c>
      <c r="J414" s="2" t="s">
        <v>134</v>
      </c>
      <c r="K414" s="2">
        <v>2</v>
      </c>
      <c r="L414" s="2">
        <v>2015</v>
      </c>
      <c r="M414" t="s">
        <v>24</v>
      </c>
      <c r="N414" t="s">
        <v>65</v>
      </c>
      <c r="O414" t="s">
        <v>75</v>
      </c>
      <c r="P414">
        <v>8780</v>
      </c>
      <c r="Q414">
        <v>7</v>
      </c>
      <c r="R414" s="4">
        <f>(P414*(1+Q414/100))</f>
        <v>9394.6</v>
      </c>
    </row>
    <row r="415" spans="1:18" x14ac:dyDescent="0.3">
      <c r="A415" t="s">
        <v>16</v>
      </c>
      <c r="B415" t="s">
        <v>22</v>
      </c>
      <c r="C415" t="s">
        <v>37</v>
      </c>
      <c r="D415" t="s">
        <v>41</v>
      </c>
      <c r="E415" t="str">
        <f>IF(F415&lt;5,"Beginner",IF(F415&lt;=10,"Mid-Level","Senior"))</f>
        <v>Senior</v>
      </c>
      <c r="F415" s="2">
        <v>13</v>
      </c>
      <c r="G415" t="s">
        <v>58</v>
      </c>
      <c r="H415" t="s">
        <v>89</v>
      </c>
      <c r="I415" s="2" t="s">
        <v>90</v>
      </c>
      <c r="J415" s="2" t="s">
        <v>134</v>
      </c>
      <c r="K415" s="2">
        <v>2</v>
      </c>
      <c r="L415" s="2">
        <v>2024</v>
      </c>
      <c r="M415" t="s">
        <v>26</v>
      </c>
      <c r="N415" t="s">
        <v>67</v>
      </c>
      <c r="O415" t="s">
        <v>77</v>
      </c>
      <c r="P415">
        <v>6195</v>
      </c>
      <c r="Q415">
        <v>5</v>
      </c>
      <c r="R415" s="4">
        <f>(P415*(1+Q415/100))</f>
        <v>6504.75</v>
      </c>
    </row>
    <row r="416" spans="1:18" x14ac:dyDescent="0.3">
      <c r="A416" t="s">
        <v>16</v>
      </c>
      <c r="B416" t="s">
        <v>24</v>
      </c>
      <c r="C416" t="s">
        <v>39</v>
      </c>
      <c r="D416" t="s">
        <v>43</v>
      </c>
      <c r="E416" t="str">
        <f>IF(F416&lt;5,"Beginner",IF(F416&lt;=10,"Mid-Level","Senior"))</f>
        <v>Senior</v>
      </c>
      <c r="F416" s="2">
        <v>19</v>
      </c>
      <c r="G416" t="s">
        <v>58</v>
      </c>
      <c r="H416" t="s">
        <v>89</v>
      </c>
      <c r="I416" s="2" t="s">
        <v>90</v>
      </c>
      <c r="J416" s="2" t="s">
        <v>134</v>
      </c>
      <c r="K416" s="2">
        <v>2</v>
      </c>
      <c r="L416" s="2">
        <v>2016</v>
      </c>
      <c r="M416" t="s">
        <v>26</v>
      </c>
      <c r="N416" t="s">
        <v>67</v>
      </c>
      <c r="O416" t="s">
        <v>74</v>
      </c>
      <c r="P416">
        <v>11860</v>
      </c>
      <c r="Q416">
        <v>12</v>
      </c>
      <c r="R416" s="4">
        <f>(P416*(1+Q416/100))</f>
        <v>13283.2</v>
      </c>
    </row>
    <row r="417" spans="1:18" x14ac:dyDescent="0.3">
      <c r="A417" t="s">
        <v>16</v>
      </c>
      <c r="B417" t="s">
        <v>31</v>
      </c>
      <c r="C417" t="s">
        <v>37</v>
      </c>
      <c r="D417" t="s">
        <v>44</v>
      </c>
      <c r="E417" t="str">
        <f>IF(F417&lt;5,"Beginner",IF(F417&lt;=10,"Mid-Level","Senior"))</f>
        <v>Senior</v>
      </c>
      <c r="F417" s="2">
        <v>13</v>
      </c>
      <c r="G417" t="s">
        <v>54</v>
      </c>
      <c r="H417" t="s">
        <v>89</v>
      </c>
      <c r="I417" s="2" t="s">
        <v>90</v>
      </c>
      <c r="J417" s="2" t="s">
        <v>134</v>
      </c>
      <c r="K417" s="2">
        <v>2</v>
      </c>
      <c r="L417" s="2">
        <v>2023</v>
      </c>
      <c r="M417" t="s">
        <v>24</v>
      </c>
      <c r="N417" t="s">
        <v>70</v>
      </c>
      <c r="O417" t="s">
        <v>73</v>
      </c>
      <c r="P417">
        <v>9736</v>
      </c>
      <c r="Q417">
        <v>6</v>
      </c>
      <c r="R417" s="4">
        <f>(P417*(1+Q417/100))</f>
        <v>10320.16</v>
      </c>
    </row>
    <row r="418" spans="1:18" x14ac:dyDescent="0.3">
      <c r="A418" t="s">
        <v>16</v>
      </c>
      <c r="B418" t="s">
        <v>22</v>
      </c>
      <c r="C418" t="s">
        <v>37</v>
      </c>
      <c r="D418" t="s">
        <v>42</v>
      </c>
      <c r="E418" t="str">
        <f>IF(F418&lt;5,"Beginner",IF(F418&lt;=10,"Mid-Level","Senior"))</f>
        <v>Beginner</v>
      </c>
      <c r="F418" s="2">
        <v>1</v>
      </c>
      <c r="G418" t="s">
        <v>59</v>
      </c>
      <c r="H418" t="s">
        <v>89</v>
      </c>
      <c r="I418" s="2" t="s">
        <v>90</v>
      </c>
      <c r="J418" s="2" t="s">
        <v>134</v>
      </c>
      <c r="K418" s="2">
        <v>2</v>
      </c>
      <c r="L418" s="2">
        <v>2016</v>
      </c>
      <c r="M418" t="s">
        <v>26</v>
      </c>
      <c r="N418" t="s">
        <v>63</v>
      </c>
      <c r="O418" t="s">
        <v>77</v>
      </c>
      <c r="P418">
        <v>10158</v>
      </c>
      <c r="Q418">
        <v>10</v>
      </c>
      <c r="R418" s="4">
        <f>(P418*(1+Q418/100))</f>
        <v>11173.800000000001</v>
      </c>
    </row>
    <row r="419" spans="1:18" x14ac:dyDescent="0.3">
      <c r="A419" t="s">
        <v>16</v>
      </c>
      <c r="B419" t="s">
        <v>24</v>
      </c>
      <c r="C419" t="s">
        <v>5</v>
      </c>
      <c r="D419" t="s">
        <v>44</v>
      </c>
      <c r="E419" t="str">
        <f>IF(F419&lt;5,"Beginner",IF(F419&lt;=10,"Mid-Level","Senior"))</f>
        <v>Senior</v>
      </c>
      <c r="F419" s="2">
        <v>16</v>
      </c>
      <c r="G419" t="s">
        <v>54</v>
      </c>
      <c r="H419" t="s">
        <v>89</v>
      </c>
      <c r="I419" s="2" t="s">
        <v>90</v>
      </c>
      <c r="J419" s="2" t="s">
        <v>134</v>
      </c>
      <c r="K419" s="2">
        <v>2</v>
      </c>
      <c r="L419" s="2">
        <v>2012</v>
      </c>
      <c r="M419" t="s">
        <v>23</v>
      </c>
      <c r="N419" t="s">
        <v>67</v>
      </c>
      <c r="O419" t="s">
        <v>76</v>
      </c>
      <c r="P419">
        <v>5751</v>
      </c>
      <c r="Q419">
        <v>9</v>
      </c>
      <c r="R419" s="4">
        <f>(P419*(1+Q419/100))</f>
        <v>6268.59</v>
      </c>
    </row>
    <row r="420" spans="1:18" x14ac:dyDescent="0.3">
      <c r="A420" t="s">
        <v>16</v>
      </c>
      <c r="B420" t="s">
        <v>30</v>
      </c>
      <c r="C420" t="s">
        <v>33</v>
      </c>
      <c r="D420" t="s">
        <v>49</v>
      </c>
      <c r="E420" t="str">
        <f>IF(F420&lt;5,"Beginner",IF(F420&lt;=10,"Mid-Level","Senior"))</f>
        <v>Senior</v>
      </c>
      <c r="F420" s="2">
        <v>19</v>
      </c>
      <c r="G420" t="s">
        <v>53</v>
      </c>
      <c r="H420" t="s">
        <v>89</v>
      </c>
      <c r="I420" s="2" t="s">
        <v>90</v>
      </c>
      <c r="J420" s="2" t="s">
        <v>134</v>
      </c>
      <c r="K420" s="2">
        <v>2</v>
      </c>
      <c r="L420" s="2">
        <v>2018</v>
      </c>
      <c r="M420" t="s">
        <v>27</v>
      </c>
      <c r="N420" t="s">
        <v>69</v>
      </c>
      <c r="O420" t="s">
        <v>76</v>
      </c>
      <c r="P420">
        <v>11694</v>
      </c>
      <c r="Q420">
        <v>7</v>
      </c>
      <c r="R420" s="4">
        <f>(P420*(1+Q420/100))</f>
        <v>12512.58</v>
      </c>
    </row>
    <row r="421" spans="1:18" x14ac:dyDescent="0.3">
      <c r="A421" t="s">
        <v>16</v>
      </c>
      <c r="B421" t="s">
        <v>31</v>
      </c>
      <c r="C421" t="s">
        <v>32</v>
      </c>
      <c r="D421" t="s">
        <v>45</v>
      </c>
      <c r="E421" t="str">
        <f>IF(F421&lt;5,"Beginner",IF(F421&lt;=10,"Mid-Level","Senior"))</f>
        <v>Beginner</v>
      </c>
      <c r="F421" s="2">
        <v>1</v>
      </c>
      <c r="G421" t="s">
        <v>59</v>
      </c>
      <c r="H421" t="s">
        <v>89</v>
      </c>
      <c r="I421" s="2" t="s">
        <v>90</v>
      </c>
      <c r="J421" s="2" t="s">
        <v>134</v>
      </c>
      <c r="K421" s="2">
        <v>2</v>
      </c>
      <c r="L421" s="2">
        <v>2011</v>
      </c>
      <c r="M421" t="s">
        <v>22</v>
      </c>
      <c r="N421" t="s">
        <v>67</v>
      </c>
      <c r="O421" t="s">
        <v>74</v>
      </c>
      <c r="P421">
        <v>5742</v>
      </c>
      <c r="Q421">
        <v>8</v>
      </c>
      <c r="R421" s="4">
        <f>(P421*(1+Q421/100))</f>
        <v>6201.3600000000006</v>
      </c>
    </row>
    <row r="422" spans="1:18" x14ac:dyDescent="0.3">
      <c r="A422" t="s">
        <v>16</v>
      </c>
      <c r="B422" t="s">
        <v>25</v>
      </c>
      <c r="C422" t="s">
        <v>38</v>
      </c>
      <c r="D422" t="s">
        <v>50</v>
      </c>
      <c r="E422" t="str">
        <f>IF(F422&lt;5,"Beginner",IF(F422&lt;=10,"Mid-Level","Senior"))</f>
        <v>Mid-Level</v>
      </c>
      <c r="F422" s="2">
        <v>8</v>
      </c>
      <c r="G422" t="s">
        <v>59</v>
      </c>
      <c r="H422" t="s">
        <v>89</v>
      </c>
      <c r="I422" s="2" t="s">
        <v>90</v>
      </c>
      <c r="J422" s="2" t="s">
        <v>134</v>
      </c>
      <c r="K422" s="2">
        <v>2</v>
      </c>
      <c r="L422" s="2">
        <v>2025</v>
      </c>
      <c r="M422" t="s">
        <v>25</v>
      </c>
      <c r="N422" t="s">
        <v>70</v>
      </c>
      <c r="O422" t="s">
        <v>76</v>
      </c>
      <c r="P422">
        <v>9797</v>
      </c>
      <c r="Q422">
        <v>7</v>
      </c>
      <c r="R422" s="4">
        <f>(P422*(1+Q422/100))</f>
        <v>10482.790000000001</v>
      </c>
    </row>
    <row r="423" spans="1:18" x14ac:dyDescent="0.3">
      <c r="A423" t="s">
        <v>16</v>
      </c>
      <c r="B423" t="s">
        <v>29</v>
      </c>
      <c r="C423" t="s">
        <v>38</v>
      </c>
      <c r="D423" t="s">
        <v>44</v>
      </c>
      <c r="E423" t="str">
        <f>IF(F423&lt;5,"Beginner",IF(F423&lt;=10,"Mid-Level","Senior"))</f>
        <v>Beginner</v>
      </c>
      <c r="F423" s="2">
        <v>2</v>
      </c>
      <c r="G423" t="s">
        <v>56</v>
      </c>
      <c r="H423" t="s">
        <v>89</v>
      </c>
      <c r="I423" s="2" t="s">
        <v>90</v>
      </c>
      <c r="J423" s="2" t="s">
        <v>134</v>
      </c>
      <c r="K423" s="2">
        <v>2</v>
      </c>
      <c r="L423" s="2">
        <v>2011</v>
      </c>
      <c r="M423" t="s">
        <v>27</v>
      </c>
      <c r="N423" t="s">
        <v>63</v>
      </c>
      <c r="O423" t="s">
        <v>74</v>
      </c>
      <c r="P423">
        <v>11263</v>
      </c>
      <c r="Q423">
        <v>10</v>
      </c>
      <c r="R423" s="4">
        <f>(P423*(1+Q423/100))</f>
        <v>12389.300000000001</v>
      </c>
    </row>
    <row r="424" spans="1:18" x14ac:dyDescent="0.3">
      <c r="A424" t="s">
        <v>16</v>
      </c>
      <c r="B424" t="s">
        <v>26</v>
      </c>
      <c r="C424" t="s">
        <v>35</v>
      </c>
      <c r="D424" t="s">
        <v>42</v>
      </c>
      <c r="E424" t="str">
        <f>IF(F424&lt;5,"Beginner",IF(F424&lt;=10,"Mid-Level","Senior"))</f>
        <v>Senior</v>
      </c>
      <c r="F424" s="2">
        <v>12</v>
      </c>
      <c r="G424" t="s">
        <v>53</v>
      </c>
      <c r="H424" t="s">
        <v>89</v>
      </c>
      <c r="I424" s="2" t="s">
        <v>90</v>
      </c>
      <c r="J424" s="2" t="s">
        <v>134</v>
      </c>
      <c r="K424" s="2">
        <v>2</v>
      </c>
      <c r="L424" s="2">
        <v>2014</v>
      </c>
      <c r="M424" t="s">
        <v>30</v>
      </c>
      <c r="N424" t="s">
        <v>64</v>
      </c>
      <c r="O424" t="s">
        <v>73</v>
      </c>
      <c r="P424">
        <v>11911</v>
      </c>
      <c r="Q424">
        <v>10</v>
      </c>
      <c r="R424" s="4">
        <f>(P424*(1+Q424/100))</f>
        <v>13102.1</v>
      </c>
    </row>
    <row r="425" spans="1:18" x14ac:dyDescent="0.3">
      <c r="A425" t="s">
        <v>16</v>
      </c>
      <c r="B425" t="s">
        <v>25</v>
      </c>
      <c r="C425" t="s">
        <v>5</v>
      </c>
      <c r="D425" t="s">
        <v>45</v>
      </c>
      <c r="E425" t="str">
        <f>IF(F425&lt;5,"Beginner",IF(F425&lt;=10,"Mid-Level","Senior"))</f>
        <v>Mid-Level</v>
      </c>
      <c r="F425" s="2">
        <v>9</v>
      </c>
      <c r="G425" t="s">
        <v>52</v>
      </c>
      <c r="H425" t="s">
        <v>89</v>
      </c>
      <c r="I425" s="2" t="s">
        <v>90</v>
      </c>
      <c r="J425" s="2" t="s">
        <v>134</v>
      </c>
      <c r="K425" s="2">
        <v>2</v>
      </c>
      <c r="L425" s="2">
        <v>2010</v>
      </c>
      <c r="M425" t="s">
        <v>24</v>
      </c>
      <c r="N425" t="s">
        <v>67</v>
      </c>
      <c r="O425" t="s">
        <v>76</v>
      </c>
      <c r="P425">
        <v>7740</v>
      </c>
      <c r="Q425">
        <v>6</v>
      </c>
      <c r="R425" s="4">
        <f>(P425*(1+Q425/100))</f>
        <v>8204.4</v>
      </c>
    </row>
    <row r="426" spans="1:18" x14ac:dyDescent="0.3">
      <c r="A426" t="s">
        <v>16</v>
      </c>
      <c r="B426" t="s">
        <v>30</v>
      </c>
      <c r="C426" t="s">
        <v>32</v>
      </c>
      <c r="D426" t="s">
        <v>48</v>
      </c>
      <c r="E426" t="str">
        <f>IF(F426&lt;5,"Beginner",IF(F426&lt;=10,"Mid-Level","Senior"))</f>
        <v>Mid-Level</v>
      </c>
      <c r="F426" s="2">
        <v>9</v>
      </c>
      <c r="G426" t="s">
        <v>57</v>
      </c>
      <c r="H426" t="s">
        <v>89</v>
      </c>
      <c r="I426" s="2" t="s">
        <v>90</v>
      </c>
      <c r="J426" s="2" t="s">
        <v>134</v>
      </c>
      <c r="K426" s="2">
        <v>2</v>
      </c>
      <c r="L426" s="2">
        <v>2018</v>
      </c>
      <c r="M426" t="s">
        <v>23</v>
      </c>
      <c r="N426" t="s">
        <v>66</v>
      </c>
      <c r="O426" t="s">
        <v>75</v>
      </c>
      <c r="P426">
        <v>9617</v>
      </c>
      <c r="Q426">
        <v>10</v>
      </c>
      <c r="R426" s="4">
        <f>(P426*(1+Q426/100))</f>
        <v>10578.7</v>
      </c>
    </row>
    <row r="427" spans="1:18" x14ac:dyDescent="0.3">
      <c r="A427" t="s">
        <v>16</v>
      </c>
      <c r="B427" t="s">
        <v>29</v>
      </c>
      <c r="C427" t="s">
        <v>38</v>
      </c>
      <c r="D427" t="s">
        <v>46</v>
      </c>
      <c r="E427" t="str">
        <f>IF(F427&lt;5,"Beginner",IF(F427&lt;=10,"Mid-Level","Senior"))</f>
        <v>Mid-Level</v>
      </c>
      <c r="F427" s="2">
        <v>5</v>
      </c>
      <c r="G427" t="s">
        <v>53</v>
      </c>
      <c r="H427" t="s">
        <v>89</v>
      </c>
      <c r="I427" s="2" t="s">
        <v>90</v>
      </c>
      <c r="J427" s="2" t="s">
        <v>134</v>
      </c>
      <c r="K427" s="2">
        <v>2</v>
      </c>
      <c r="L427" s="2">
        <v>2015</v>
      </c>
      <c r="M427" t="s">
        <v>26</v>
      </c>
      <c r="N427" t="s">
        <v>63</v>
      </c>
      <c r="O427" t="s">
        <v>75</v>
      </c>
      <c r="P427">
        <v>10394</v>
      </c>
      <c r="Q427">
        <v>9</v>
      </c>
      <c r="R427" s="4">
        <f>(P427*(1+Q427/100))</f>
        <v>11329.460000000001</v>
      </c>
    </row>
    <row r="428" spans="1:18" x14ac:dyDescent="0.3">
      <c r="A428" t="s">
        <v>15</v>
      </c>
      <c r="B428" t="s">
        <v>25</v>
      </c>
      <c r="C428" t="s">
        <v>35</v>
      </c>
      <c r="D428" t="s">
        <v>44</v>
      </c>
      <c r="E428" t="str">
        <f>IF(F428&lt;5,"Beginner",IF(F428&lt;=10,"Mid-Level","Senior"))</f>
        <v>Mid-Level</v>
      </c>
      <c r="F428" s="2">
        <v>6</v>
      </c>
      <c r="G428" t="s">
        <v>53</v>
      </c>
      <c r="H428" t="s">
        <v>60</v>
      </c>
      <c r="I428" s="2" t="s">
        <v>134</v>
      </c>
      <c r="J428" s="2" t="s">
        <v>134</v>
      </c>
      <c r="K428" s="2">
        <v>2</v>
      </c>
      <c r="L428" s="2">
        <v>2015</v>
      </c>
      <c r="M428" t="s">
        <v>29</v>
      </c>
      <c r="N428" t="s">
        <v>66</v>
      </c>
      <c r="O428" t="s">
        <v>75</v>
      </c>
      <c r="P428">
        <v>11208</v>
      </c>
      <c r="Q428">
        <v>14</v>
      </c>
      <c r="R428" s="4">
        <f>(P428*(1+Q428/100))</f>
        <v>12777.12</v>
      </c>
    </row>
    <row r="429" spans="1:18" x14ac:dyDescent="0.3">
      <c r="A429" t="s">
        <v>12</v>
      </c>
      <c r="B429" t="s">
        <v>30</v>
      </c>
      <c r="C429" t="s">
        <v>36</v>
      </c>
      <c r="D429" t="s">
        <v>47</v>
      </c>
      <c r="E429" t="str">
        <f>IF(F429&lt;5,"Beginner",IF(F429&lt;=10,"Mid-Level","Senior"))</f>
        <v>Senior</v>
      </c>
      <c r="F429" s="2">
        <v>13</v>
      </c>
      <c r="G429" t="s">
        <v>52</v>
      </c>
      <c r="H429" t="s">
        <v>61</v>
      </c>
      <c r="I429" s="2" t="s">
        <v>134</v>
      </c>
      <c r="J429" s="2" t="s">
        <v>134</v>
      </c>
      <c r="K429" s="2">
        <v>2</v>
      </c>
      <c r="L429" s="2">
        <v>2021</v>
      </c>
      <c r="M429" t="s">
        <v>31</v>
      </c>
      <c r="N429" t="s">
        <v>65</v>
      </c>
      <c r="O429" t="s">
        <v>74</v>
      </c>
      <c r="P429">
        <v>9711</v>
      </c>
      <c r="Q429">
        <v>9</v>
      </c>
      <c r="R429" s="4">
        <f>(P429*(1+Q429/100))</f>
        <v>10584.990000000002</v>
      </c>
    </row>
    <row r="430" spans="1:18" x14ac:dyDescent="0.3">
      <c r="A430" t="s">
        <v>15</v>
      </c>
      <c r="B430" t="s">
        <v>24</v>
      </c>
      <c r="C430" t="s">
        <v>37</v>
      </c>
      <c r="D430" t="s">
        <v>42</v>
      </c>
      <c r="E430" t="str">
        <f>IF(F430&lt;5,"Beginner",IF(F430&lt;=10,"Mid-Level","Senior"))</f>
        <v>Beginner</v>
      </c>
      <c r="F430" s="2">
        <v>3</v>
      </c>
      <c r="G430" t="s">
        <v>56</v>
      </c>
      <c r="H430" t="s">
        <v>60</v>
      </c>
      <c r="I430" s="2" t="s">
        <v>134</v>
      </c>
      <c r="J430" s="2" t="s">
        <v>134</v>
      </c>
      <c r="K430" s="2">
        <v>2</v>
      </c>
      <c r="L430" s="2">
        <v>2012</v>
      </c>
      <c r="M430" t="s">
        <v>30</v>
      </c>
      <c r="N430" t="s">
        <v>68</v>
      </c>
      <c r="O430" t="s">
        <v>77</v>
      </c>
      <c r="P430">
        <v>10611</v>
      </c>
      <c r="Q430">
        <v>14</v>
      </c>
      <c r="R430" s="4">
        <f>(P430*(1+Q430/100))</f>
        <v>12096.54</v>
      </c>
    </row>
    <row r="431" spans="1:18" x14ac:dyDescent="0.3">
      <c r="A431" t="s">
        <v>12</v>
      </c>
      <c r="B431" t="s">
        <v>29</v>
      </c>
      <c r="C431" t="s">
        <v>39</v>
      </c>
      <c r="D431" t="s">
        <v>48</v>
      </c>
      <c r="E431" t="str">
        <f>IF(F431&lt;5,"Beginner",IF(F431&lt;=10,"Mid-Level","Senior"))</f>
        <v>Senior</v>
      </c>
      <c r="F431" s="2">
        <v>17</v>
      </c>
      <c r="G431" t="s">
        <v>54</v>
      </c>
      <c r="H431" t="s">
        <v>61</v>
      </c>
      <c r="I431" s="2" t="s">
        <v>134</v>
      </c>
      <c r="J431" s="2" t="s">
        <v>134</v>
      </c>
      <c r="K431" s="2">
        <v>2</v>
      </c>
      <c r="L431" s="2">
        <v>2023</v>
      </c>
      <c r="M431" t="s">
        <v>25</v>
      </c>
      <c r="N431" t="s">
        <v>70</v>
      </c>
      <c r="O431" t="s">
        <v>76</v>
      </c>
      <c r="P431">
        <v>4849</v>
      </c>
      <c r="Q431">
        <v>8</v>
      </c>
      <c r="R431" s="4">
        <f>(P431*(1+Q431/100))</f>
        <v>5236.92</v>
      </c>
    </row>
    <row r="432" spans="1:18" x14ac:dyDescent="0.3">
      <c r="A432" t="s">
        <v>21</v>
      </c>
      <c r="B432" t="s">
        <v>23</v>
      </c>
      <c r="C432" t="s">
        <v>32</v>
      </c>
      <c r="D432" t="s">
        <v>44</v>
      </c>
      <c r="E432" t="str">
        <f>IF(F432&lt;5,"Beginner",IF(F432&lt;=10,"Mid-Level","Senior"))</f>
        <v>Beginner</v>
      </c>
      <c r="F432" s="2">
        <v>3</v>
      </c>
      <c r="G432" t="s">
        <v>51</v>
      </c>
      <c r="H432" t="s">
        <v>62</v>
      </c>
      <c r="I432" s="2" t="s">
        <v>134</v>
      </c>
      <c r="J432" s="2" t="s">
        <v>134</v>
      </c>
      <c r="K432" s="2">
        <v>2</v>
      </c>
      <c r="L432" s="2">
        <v>2015</v>
      </c>
      <c r="M432" t="s">
        <v>27</v>
      </c>
      <c r="N432" t="s">
        <v>72</v>
      </c>
      <c r="O432" t="s">
        <v>73</v>
      </c>
      <c r="P432">
        <v>9661</v>
      </c>
      <c r="Q432">
        <v>10</v>
      </c>
      <c r="R432" s="4">
        <f>(P432*(1+Q432/100))</f>
        <v>10627.1</v>
      </c>
    </row>
    <row r="433" spans="1:18" x14ac:dyDescent="0.3">
      <c r="A433" t="s">
        <v>15</v>
      </c>
      <c r="B433" t="s">
        <v>27</v>
      </c>
      <c r="C433" t="s">
        <v>34</v>
      </c>
      <c r="D433" t="s">
        <v>50</v>
      </c>
      <c r="E433" t="str">
        <f>IF(F433&lt;5,"Beginner",IF(F433&lt;=10,"Mid-Level","Senior"))</f>
        <v>Senior</v>
      </c>
      <c r="F433" s="2">
        <v>16</v>
      </c>
      <c r="G433" t="s">
        <v>58</v>
      </c>
      <c r="H433" t="s">
        <v>60</v>
      </c>
      <c r="I433" s="2" t="s">
        <v>134</v>
      </c>
      <c r="J433" s="2" t="s">
        <v>134</v>
      </c>
      <c r="K433" s="2">
        <v>2</v>
      </c>
      <c r="L433" s="2">
        <v>2014</v>
      </c>
      <c r="M433" t="s">
        <v>23</v>
      </c>
      <c r="N433" t="s">
        <v>71</v>
      </c>
      <c r="O433" t="s">
        <v>77</v>
      </c>
      <c r="P433">
        <v>13331</v>
      </c>
      <c r="Q433">
        <v>12</v>
      </c>
      <c r="R433" s="4">
        <f>(P433*(1+Q433/100))</f>
        <v>14930.720000000001</v>
      </c>
    </row>
    <row r="434" spans="1:18" x14ac:dyDescent="0.3">
      <c r="A434" t="s">
        <v>12</v>
      </c>
      <c r="B434" t="s">
        <v>22</v>
      </c>
      <c r="C434" t="s">
        <v>37</v>
      </c>
      <c r="D434" t="s">
        <v>41</v>
      </c>
      <c r="E434" t="str">
        <f>IF(F434&lt;5,"Beginner",IF(F434&lt;=10,"Mid-Level","Senior"))</f>
        <v>Senior</v>
      </c>
      <c r="F434" s="2">
        <v>17</v>
      </c>
      <c r="G434" t="s">
        <v>52</v>
      </c>
      <c r="H434" t="s">
        <v>61</v>
      </c>
      <c r="I434" s="2" t="s">
        <v>134</v>
      </c>
      <c r="J434" s="2" t="s">
        <v>134</v>
      </c>
      <c r="K434" s="2">
        <v>2</v>
      </c>
      <c r="L434" s="2">
        <v>2023</v>
      </c>
      <c r="M434" t="s">
        <v>22</v>
      </c>
      <c r="N434" t="s">
        <v>69</v>
      </c>
      <c r="O434" t="s">
        <v>77</v>
      </c>
      <c r="P434">
        <v>7326</v>
      </c>
      <c r="Q434">
        <v>12</v>
      </c>
      <c r="R434" s="4">
        <f>(P434*(1+Q434/100))</f>
        <v>8205.1200000000008</v>
      </c>
    </row>
    <row r="435" spans="1:18" x14ac:dyDescent="0.3">
      <c r="A435" t="s">
        <v>21</v>
      </c>
      <c r="B435" t="s">
        <v>28</v>
      </c>
      <c r="C435" t="s">
        <v>33</v>
      </c>
      <c r="D435" t="s">
        <v>49</v>
      </c>
      <c r="E435" t="str">
        <f>IF(F435&lt;5,"Beginner",IF(F435&lt;=10,"Mid-Level","Senior"))</f>
        <v>Mid-Level</v>
      </c>
      <c r="F435" s="2">
        <v>5</v>
      </c>
      <c r="G435" t="s">
        <v>54</v>
      </c>
      <c r="H435" t="s">
        <v>62</v>
      </c>
      <c r="I435" s="2" t="s">
        <v>134</v>
      </c>
      <c r="J435" s="2" t="s">
        <v>134</v>
      </c>
      <c r="K435" s="2">
        <v>2</v>
      </c>
      <c r="L435" s="2">
        <v>2017</v>
      </c>
      <c r="M435" t="s">
        <v>22</v>
      </c>
      <c r="N435" t="s">
        <v>68</v>
      </c>
      <c r="O435" t="s">
        <v>75</v>
      </c>
      <c r="P435">
        <v>11031</v>
      </c>
      <c r="Q435">
        <v>8</v>
      </c>
      <c r="R435" s="4">
        <f>(P435*(1+Q435/100))</f>
        <v>11913.480000000001</v>
      </c>
    </row>
    <row r="436" spans="1:18" x14ac:dyDescent="0.3">
      <c r="A436" t="s">
        <v>15</v>
      </c>
      <c r="B436" t="s">
        <v>28</v>
      </c>
      <c r="C436" t="s">
        <v>32</v>
      </c>
      <c r="D436" t="s">
        <v>49</v>
      </c>
      <c r="E436" t="str">
        <f>IF(F436&lt;5,"Beginner",IF(F436&lt;=10,"Mid-Level","Senior"))</f>
        <v>Senior</v>
      </c>
      <c r="F436" s="2">
        <v>15</v>
      </c>
      <c r="G436" t="s">
        <v>54</v>
      </c>
      <c r="H436" t="s">
        <v>60</v>
      </c>
      <c r="I436" s="2" t="s">
        <v>134</v>
      </c>
      <c r="J436" s="2" t="s">
        <v>134</v>
      </c>
      <c r="K436" s="2">
        <v>2</v>
      </c>
      <c r="L436" s="2">
        <v>2024</v>
      </c>
      <c r="M436" t="s">
        <v>30</v>
      </c>
      <c r="N436" t="s">
        <v>64</v>
      </c>
      <c r="O436" t="s">
        <v>74</v>
      </c>
      <c r="P436">
        <v>11247</v>
      </c>
      <c r="Q436">
        <v>14</v>
      </c>
      <c r="R436" s="4">
        <f>(P436*(1+Q436/100))</f>
        <v>12821.580000000002</v>
      </c>
    </row>
    <row r="437" spans="1:18" x14ac:dyDescent="0.3">
      <c r="A437" t="s">
        <v>15</v>
      </c>
      <c r="B437" t="s">
        <v>30</v>
      </c>
      <c r="C437" t="s">
        <v>37</v>
      </c>
      <c r="D437" t="s">
        <v>47</v>
      </c>
      <c r="E437" t="str">
        <f>IF(F437&lt;5,"Beginner",IF(F437&lt;=10,"Mid-Level","Senior"))</f>
        <v>Beginner</v>
      </c>
      <c r="F437" s="2">
        <v>2</v>
      </c>
      <c r="G437" t="s">
        <v>56</v>
      </c>
      <c r="H437" t="s">
        <v>60</v>
      </c>
      <c r="I437" s="2" t="s">
        <v>134</v>
      </c>
      <c r="J437" s="2" t="s">
        <v>134</v>
      </c>
      <c r="K437" s="2">
        <v>2</v>
      </c>
      <c r="L437" s="2">
        <v>2015</v>
      </c>
      <c r="M437" t="s">
        <v>30</v>
      </c>
      <c r="N437" t="s">
        <v>66</v>
      </c>
      <c r="O437" t="s">
        <v>75</v>
      </c>
      <c r="P437">
        <v>12896</v>
      </c>
      <c r="Q437">
        <v>10</v>
      </c>
      <c r="R437" s="4">
        <f>(P437*(1+Q437/100))</f>
        <v>14185.6</v>
      </c>
    </row>
    <row r="438" spans="1:18" x14ac:dyDescent="0.3">
      <c r="A438" t="s">
        <v>12</v>
      </c>
      <c r="B438" t="s">
        <v>26</v>
      </c>
      <c r="C438" t="s">
        <v>38</v>
      </c>
      <c r="D438" t="s">
        <v>44</v>
      </c>
      <c r="E438" t="str">
        <f>IF(F438&lt;5,"Beginner",IF(F438&lt;=10,"Mid-Level","Senior"))</f>
        <v>Senior</v>
      </c>
      <c r="F438" s="2">
        <v>13</v>
      </c>
      <c r="G438" t="s">
        <v>55</v>
      </c>
      <c r="H438" t="s">
        <v>61</v>
      </c>
      <c r="I438" s="2" t="s">
        <v>134</v>
      </c>
      <c r="J438" s="2" t="s">
        <v>134</v>
      </c>
      <c r="K438" s="2">
        <v>2</v>
      </c>
      <c r="L438" s="2">
        <v>2019</v>
      </c>
      <c r="M438" t="s">
        <v>28</v>
      </c>
      <c r="N438" t="s">
        <v>66</v>
      </c>
      <c r="O438" t="s">
        <v>76</v>
      </c>
      <c r="P438">
        <v>9099</v>
      </c>
      <c r="Q438">
        <v>12</v>
      </c>
      <c r="R438" s="4">
        <f>(P438*(1+Q438/100))</f>
        <v>10190.880000000001</v>
      </c>
    </row>
    <row r="439" spans="1:18" x14ac:dyDescent="0.3">
      <c r="A439" t="s">
        <v>12</v>
      </c>
      <c r="B439" t="s">
        <v>24</v>
      </c>
      <c r="C439" t="s">
        <v>37</v>
      </c>
      <c r="D439" t="s">
        <v>50</v>
      </c>
      <c r="E439" t="str">
        <f>IF(F439&lt;5,"Beginner",IF(F439&lt;=10,"Mid-Level","Senior"))</f>
        <v>Senior</v>
      </c>
      <c r="F439" s="2">
        <v>13</v>
      </c>
      <c r="G439" t="s">
        <v>56</v>
      </c>
      <c r="H439" t="s">
        <v>61</v>
      </c>
      <c r="I439" s="2" t="s">
        <v>134</v>
      </c>
      <c r="J439" s="2" t="s">
        <v>134</v>
      </c>
      <c r="K439" s="2">
        <v>2</v>
      </c>
      <c r="L439" s="2">
        <v>2017</v>
      </c>
      <c r="M439" t="s">
        <v>25</v>
      </c>
      <c r="N439" t="s">
        <v>66</v>
      </c>
      <c r="O439" t="s">
        <v>76</v>
      </c>
      <c r="P439">
        <v>4625</v>
      </c>
      <c r="Q439">
        <v>7</v>
      </c>
      <c r="R439" s="4">
        <f>(P439*(1+Q439/100))</f>
        <v>4948.75</v>
      </c>
    </row>
    <row r="440" spans="1:18" x14ac:dyDescent="0.3">
      <c r="A440" t="s">
        <v>21</v>
      </c>
      <c r="B440" t="s">
        <v>31</v>
      </c>
      <c r="C440" t="s">
        <v>34</v>
      </c>
      <c r="D440" t="s">
        <v>42</v>
      </c>
      <c r="E440" t="str">
        <f>IF(F440&lt;5,"Beginner",IF(F440&lt;=10,"Mid-Level","Senior"))</f>
        <v>Beginner</v>
      </c>
      <c r="F440" s="2">
        <v>1</v>
      </c>
      <c r="G440" t="s">
        <v>59</v>
      </c>
      <c r="H440" t="s">
        <v>62</v>
      </c>
      <c r="I440" s="2" t="s">
        <v>134</v>
      </c>
      <c r="J440" s="2" t="s">
        <v>134</v>
      </c>
      <c r="K440" s="2">
        <v>2</v>
      </c>
      <c r="L440" s="2">
        <v>2019</v>
      </c>
      <c r="M440" t="s">
        <v>23</v>
      </c>
      <c r="N440" t="s">
        <v>70</v>
      </c>
      <c r="O440" t="s">
        <v>77</v>
      </c>
      <c r="P440">
        <v>7611</v>
      </c>
      <c r="Q440">
        <v>6</v>
      </c>
      <c r="R440" s="4">
        <f>(P440*(1+Q440/100))</f>
        <v>8067.6600000000008</v>
      </c>
    </row>
    <row r="441" spans="1:18" x14ac:dyDescent="0.3">
      <c r="A441" t="s">
        <v>12</v>
      </c>
      <c r="B441" t="s">
        <v>29</v>
      </c>
      <c r="C441" t="s">
        <v>5</v>
      </c>
      <c r="D441" t="s">
        <v>44</v>
      </c>
      <c r="E441" t="str">
        <f>IF(F441&lt;5,"Beginner",IF(F441&lt;=10,"Mid-Level","Senior"))</f>
        <v>Senior</v>
      </c>
      <c r="F441" s="2">
        <v>19</v>
      </c>
      <c r="G441" t="s">
        <v>51</v>
      </c>
      <c r="H441" t="s">
        <v>61</v>
      </c>
      <c r="I441" s="2" t="s">
        <v>134</v>
      </c>
      <c r="J441" s="2" t="s">
        <v>134</v>
      </c>
      <c r="K441" s="2">
        <v>2</v>
      </c>
      <c r="L441" s="2">
        <v>2025</v>
      </c>
      <c r="M441" t="s">
        <v>23</v>
      </c>
      <c r="N441" t="s">
        <v>63</v>
      </c>
      <c r="O441" t="s">
        <v>74</v>
      </c>
      <c r="P441">
        <v>7196</v>
      </c>
      <c r="Q441">
        <v>6</v>
      </c>
      <c r="R441" s="4">
        <f>(P441*(1+Q441/100))</f>
        <v>7627.76</v>
      </c>
    </row>
    <row r="442" spans="1:18" x14ac:dyDescent="0.3">
      <c r="A442" t="s">
        <v>21</v>
      </c>
      <c r="B442" t="s">
        <v>27</v>
      </c>
      <c r="C442" t="s">
        <v>36</v>
      </c>
      <c r="D442" t="s">
        <v>49</v>
      </c>
      <c r="E442" t="str">
        <f>IF(F442&lt;5,"Beginner",IF(F442&lt;=10,"Mid-Level","Senior"))</f>
        <v>Senior</v>
      </c>
      <c r="F442" s="2">
        <v>11</v>
      </c>
      <c r="G442" t="s">
        <v>53</v>
      </c>
      <c r="H442" t="s">
        <v>62</v>
      </c>
      <c r="I442" s="2" t="s">
        <v>134</v>
      </c>
      <c r="J442" s="2" t="s">
        <v>134</v>
      </c>
      <c r="K442" s="2">
        <v>2</v>
      </c>
      <c r="L442" s="2">
        <v>2010</v>
      </c>
      <c r="M442" t="s">
        <v>29</v>
      </c>
      <c r="N442" t="s">
        <v>69</v>
      </c>
      <c r="O442" t="s">
        <v>77</v>
      </c>
      <c r="P442">
        <v>11743</v>
      </c>
      <c r="Q442">
        <v>7</v>
      </c>
      <c r="R442" s="4">
        <f>(P442*(1+Q442/100))</f>
        <v>12565.01</v>
      </c>
    </row>
    <row r="443" spans="1:18" x14ac:dyDescent="0.3">
      <c r="A443" t="s">
        <v>15</v>
      </c>
      <c r="B443" t="s">
        <v>31</v>
      </c>
      <c r="C443" t="s">
        <v>37</v>
      </c>
      <c r="D443" t="s">
        <v>41</v>
      </c>
      <c r="E443" t="str">
        <f>IF(F443&lt;5,"Beginner",IF(F443&lt;=10,"Mid-Level","Senior"))</f>
        <v>Beginner</v>
      </c>
      <c r="F443" s="2">
        <v>1</v>
      </c>
      <c r="G443" t="s">
        <v>57</v>
      </c>
      <c r="H443" t="s">
        <v>60</v>
      </c>
      <c r="I443" s="2" t="s">
        <v>134</v>
      </c>
      <c r="J443" s="2" t="s">
        <v>134</v>
      </c>
      <c r="K443" s="2">
        <v>2</v>
      </c>
      <c r="L443" s="2">
        <v>2013</v>
      </c>
      <c r="M443" t="s">
        <v>24</v>
      </c>
      <c r="N443" t="s">
        <v>63</v>
      </c>
      <c r="O443" t="s">
        <v>76</v>
      </c>
      <c r="P443">
        <v>15380</v>
      </c>
      <c r="Q443">
        <v>18</v>
      </c>
      <c r="R443" s="4">
        <f>(P443*(1+Q443/100))</f>
        <v>18148.399999999998</v>
      </c>
    </row>
    <row r="444" spans="1:18" x14ac:dyDescent="0.3">
      <c r="A444" t="s">
        <v>21</v>
      </c>
      <c r="B444" t="s">
        <v>26</v>
      </c>
      <c r="C444" t="s">
        <v>37</v>
      </c>
      <c r="D444" t="s">
        <v>48</v>
      </c>
      <c r="E444" t="str">
        <f>IF(F444&lt;5,"Beginner",IF(F444&lt;=10,"Mid-Level","Senior"))</f>
        <v>Beginner</v>
      </c>
      <c r="F444" s="2">
        <v>1</v>
      </c>
      <c r="G444" t="s">
        <v>55</v>
      </c>
      <c r="H444" t="s">
        <v>62</v>
      </c>
      <c r="I444" s="2" t="s">
        <v>134</v>
      </c>
      <c r="J444" s="2" t="s">
        <v>134</v>
      </c>
      <c r="K444" s="2">
        <v>2</v>
      </c>
      <c r="L444" s="2">
        <v>2011</v>
      </c>
      <c r="M444" t="s">
        <v>22</v>
      </c>
      <c r="N444" t="s">
        <v>69</v>
      </c>
      <c r="O444" t="s">
        <v>73</v>
      </c>
      <c r="P444">
        <v>12447</v>
      </c>
      <c r="Q444">
        <v>6</v>
      </c>
      <c r="R444" s="4">
        <f>(P444*(1+Q444/100))</f>
        <v>13193.820000000002</v>
      </c>
    </row>
    <row r="445" spans="1:18" x14ac:dyDescent="0.3">
      <c r="A445" t="s">
        <v>15</v>
      </c>
      <c r="B445" t="s">
        <v>27</v>
      </c>
      <c r="C445" t="s">
        <v>32</v>
      </c>
      <c r="D445" t="s">
        <v>44</v>
      </c>
      <c r="E445" t="str">
        <f>IF(F445&lt;5,"Beginner",IF(F445&lt;=10,"Mid-Level","Senior"))</f>
        <v>Senior</v>
      </c>
      <c r="F445" s="2">
        <v>15</v>
      </c>
      <c r="G445" t="s">
        <v>58</v>
      </c>
      <c r="H445" t="s">
        <v>60</v>
      </c>
      <c r="I445" s="2" t="s">
        <v>134</v>
      </c>
      <c r="J445" s="2" t="s">
        <v>134</v>
      </c>
      <c r="K445" s="2">
        <v>2</v>
      </c>
      <c r="L445" s="2">
        <v>2010</v>
      </c>
      <c r="M445" t="s">
        <v>23</v>
      </c>
      <c r="N445" t="s">
        <v>70</v>
      </c>
      <c r="O445" t="s">
        <v>76</v>
      </c>
      <c r="P445">
        <v>11370</v>
      </c>
      <c r="Q445">
        <v>17</v>
      </c>
      <c r="R445" s="4">
        <f>(P445*(1+Q445/100))</f>
        <v>13302.9</v>
      </c>
    </row>
    <row r="446" spans="1:18" x14ac:dyDescent="0.3">
      <c r="A446" t="s">
        <v>21</v>
      </c>
      <c r="B446" t="s">
        <v>24</v>
      </c>
      <c r="C446" t="s">
        <v>40</v>
      </c>
      <c r="D446" t="s">
        <v>49</v>
      </c>
      <c r="E446" t="str">
        <f>IF(F446&lt;5,"Beginner",IF(F446&lt;=10,"Mid-Level","Senior"))</f>
        <v>Mid-Level</v>
      </c>
      <c r="F446" s="2">
        <v>9</v>
      </c>
      <c r="G446" t="s">
        <v>53</v>
      </c>
      <c r="H446" t="s">
        <v>62</v>
      </c>
      <c r="I446" s="2" t="s">
        <v>134</v>
      </c>
      <c r="J446" s="2" t="s">
        <v>134</v>
      </c>
      <c r="K446" s="2">
        <v>2</v>
      </c>
      <c r="L446" s="2">
        <v>2019</v>
      </c>
      <c r="M446" t="s">
        <v>29</v>
      </c>
      <c r="N446" t="s">
        <v>72</v>
      </c>
      <c r="O446" t="s">
        <v>73</v>
      </c>
      <c r="P446">
        <v>6675</v>
      </c>
      <c r="Q446">
        <v>14</v>
      </c>
      <c r="R446" s="4">
        <f>(P446*(1+Q446/100))</f>
        <v>7609.5000000000009</v>
      </c>
    </row>
    <row r="447" spans="1:18" x14ac:dyDescent="0.3">
      <c r="A447" t="s">
        <v>15</v>
      </c>
      <c r="B447" t="s">
        <v>26</v>
      </c>
      <c r="C447" t="s">
        <v>38</v>
      </c>
      <c r="D447" t="s">
        <v>49</v>
      </c>
      <c r="E447" t="str">
        <f>IF(F447&lt;5,"Beginner",IF(F447&lt;=10,"Mid-Level","Senior"))</f>
        <v>Beginner</v>
      </c>
      <c r="F447" s="2">
        <v>3</v>
      </c>
      <c r="G447" t="s">
        <v>58</v>
      </c>
      <c r="H447" t="s">
        <v>60</v>
      </c>
      <c r="I447" s="2" t="s">
        <v>134</v>
      </c>
      <c r="J447" s="2" t="s">
        <v>134</v>
      </c>
      <c r="K447" s="2">
        <v>2</v>
      </c>
      <c r="L447" s="2">
        <v>2017</v>
      </c>
      <c r="M447" t="s">
        <v>30</v>
      </c>
      <c r="N447" t="s">
        <v>71</v>
      </c>
      <c r="O447" t="s">
        <v>74</v>
      </c>
      <c r="P447">
        <v>13185</v>
      </c>
      <c r="Q447">
        <v>15</v>
      </c>
      <c r="R447" s="4">
        <f>(P447*(1+Q447/100))</f>
        <v>15162.749999999998</v>
      </c>
    </row>
    <row r="448" spans="1:18" x14ac:dyDescent="0.3">
      <c r="A448" t="s">
        <v>21</v>
      </c>
      <c r="B448" t="s">
        <v>29</v>
      </c>
      <c r="C448" t="s">
        <v>37</v>
      </c>
      <c r="D448" t="s">
        <v>45</v>
      </c>
      <c r="E448" t="str">
        <f>IF(F448&lt;5,"Beginner",IF(F448&lt;=10,"Mid-Level","Senior"))</f>
        <v>Beginner</v>
      </c>
      <c r="F448" s="2">
        <v>1</v>
      </c>
      <c r="G448" t="s">
        <v>55</v>
      </c>
      <c r="H448" t="s">
        <v>62</v>
      </c>
      <c r="I448" s="2" t="s">
        <v>134</v>
      </c>
      <c r="J448" s="2" t="s">
        <v>134</v>
      </c>
      <c r="K448" s="2">
        <v>2</v>
      </c>
      <c r="L448" s="2">
        <v>2025</v>
      </c>
      <c r="M448" t="s">
        <v>28</v>
      </c>
      <c r="N448" t="s">
        <v>68</v>
      </c>
      <c r="O448" t="s">
        <v>75</v>
      </c>
      <c r="P448">
        <v>8605</v>
      </c>
      <c r="Q448">
        <v>13</v>
      </c>
      <c r="R448" s="4">
        <f>(P448*(1+Q448/100))</f>
        <v>9723.65</v>
      </c>
    </row>
    <row r="449" spans="1:18" x14ac:dyDescent="0.3">
      <c r="A449" t="s">
        <v>12</v>
      </c>
      <c r="B449" t="s">
        <v>24</v>
      </c>
      <c r="C449" t="s">
        <v>37</v>
      </c>
      <c r="D449" t="s">
        <v>44</v>
      </c>
      <c r="E449" t="str">
        <f>IF(F449&lt;5,"Beginner",IF(F449&lt;=10,"Mid-Level","Senior"))</f>
        <v>Mid-Level</v>
      </c>
      <c r="F449" s="2">
        <v>10</v>
      </c>
      <c r="G449" t="s">
        <v>57</v>
      </c>
      <c r="H449" t="s">
        <v>61</v>
      </c>
      <c r="I449" s="2" t="s">
        <v>134</v>
      </c>
      <c r="J449" s="2" t="s">
        <v>134</v>
      </c>
      <c r="K449" s="2">
        <v>2</v>
      </c>
      <c r="L449" s="2">
        <v>2011</v>
      </c>
      <c r="M449" t="s">
        <v>26</v>
      </c>
      <c r="N449" t="s">
        <v>67</v>
      </c>
      <c r="O449" t="s">
        <v>77</v>
      </c>
      <c r="P449">
        <v>9401</v>
      </c>
      <c r="Q449">
        <v>10</v>
      </c>
      <c r="R449" s="4">
        <f>(P449*(1+Q449/100))</f>
        <v>10341.1</v>
      </c>
    </row>
    <row r="450" spans="1:18" x14ac:dyDescent="0.3">
      <c r="A450" t="s">
        <v>15</v>
      </c>
      <c r="B450" t="s">
        <v>25</v>
      </c>
      <c r="C450" t="s">
        <v>35</v>
      </c>
      <c r="D450" t="s">
        <v>44</v>
      </c>
      <c r="E450" t="str">
        <f>IF(F450&lt;5,"Beginner",IF(F450&lt;=10,"Mid-Level","Senior"))</f>
        <v>Senior</v>
      </c>
      <c r="F450" s="2">
        <v>20</v>
      </c>
      <c r="G450" t="s">
        <v>57</v>
      </c>
      <c r="H450" t="s">
        <v>60</v>
      </c>
      <c r="I450" s="2" t="s">
        <v>134</v>
      </c>
      <c r="J450" s="2" t="s">
        <v>134</v>
      </c>
      <c r="K450" s="2">
        <v>2</v>
      </c>
      <c r="L450" s="2">
        <v>2013</v>
      </c>
      <c r="M450" t="s">
        <v>23</v>
      </c>
      <c r="N450" t="s">
        <v>71</v>
      </c>
      <c r="O450" t="s">
        <v>76</v>
      </c>
      <c r="P450">
        <v>13926</v>
      </c>
      <c r="Q450">
        <v>11</v>
      </c>
      <c r="R450" s="4">
        <f>(P450*(1+Q450/100))</f>
        <v>15457.86</v>
      </c>
    </row>
    <row r="451" spans="1:18" x14ac:dyDescent="0.3">
      <c r="A451" t="s">
        <v>12</v>
      </c>
      <c r="B451" t="s">
        <v>25</v>
      </c>
      <c r="C451" t="s">
        <v>38</v>
      </c>
      <c r="D451" t="s">
        <v>45</v>
      </c>
      <c r="E451" t="str">
        <f>IF(F451&lt;5,"Beginner",IF(F451&lt;=10,"Mid-Level","Senior"))</f>
        <v>Senior</v>
      </c>
      <c r="F451" s="2">
        <v>12</v>
      </c>
      <c r="G451" t="s">
        <v>52</v>
      </c>
      <c r="H451" t="s">
        <v>61</v>
      </c>
      <c r="I451" s="2" t="s">
        <v>134</v>
      </c>
      <c r="J451" s="2" t="s">
        <v>134</v>
      </c>
      <c r="K451" s="2">
        <v>2</v>
      </c>
      <c r="L451" s="2">
        <v>2018</v>
      </c>
      <c r="M451" t="s">
        <v>29</v>
      </c>
      <c r="N451" t="s">
        <v>63</v>
      </c>
      <c r="O451" t="s">
        <v>73</v>
      </c>
      <c r="P451">
        <v>4982</v>
      </c>
      <c r="Q451">
        <v>12</v>
      </c>
      <c r="R451" s="4">
        <f>(P451*(1+Q451/100))</f>
        <v>5579.84</v>
      </c>
    </row>
    <row r="452" spans="1:18" x14ac:dyDescent="0.3">
      <c r="A452" t="s">
        <v>12</v>
      </c>
      <c r="B452" t="s">
        <v>26</v>
      </c>
      <c r="C452" t="s">
        <v>35</v>
      </c>
      <c r="D452" t="s">
        <v>44</v>
      </c>
      <c r="E452" t="str">
        <f>IF(F452&lt;5,"Beginner",IF(F452&lt;=10,"Mid-Level","Senior"))</f>
        <v>Mid-Level</v>
      </c>
      <c r="F452" s="2">
        <v>8</v>
      </c>
      <c r="G452" t="s">
        <v>53</v>
      </c>
      <c r="H452" t="s">
        <v>61</v>
      </c>
      <c r="I452" s="2" t="s">
        <v>134</v>
      </c>
      <c r="J452" s="2" t="s">
        <v>134</v>
      </c>
      <c r="K452" s="2">
        <v>2</v>
      </c>
      <c r="L452" s="2">
        <v>2016</v>
      </c>
      <c r="M452" t="s">
        <v>22</v>
      </c>
      <c r="N452" t="s">
        <v>66</v>
      </c>
      <c r="O452" t="s">
        <v>73</v>
      </c>
      <c r="P452">
        <v>4664</v>
      </c>
      <c r="Q452">
        <v>8</v>
      </c>
      <c r="R452" s="4">
        <f>(P452*(1+Q452/100))</f>
        <v>5037.12</v>
      </c>
    </row>
    <row r="453" spans="1:18" x14ac:dyDescent="0.3">
      <c r="A453" t="s">
        <v>21</v>
      </c>
      <c r="B453" t="s">
        <v>25</v>
      </c>
      <c r="C453" t="s">
        <v>38</v>
      </c>
      <c r="D453" t="s">
        <v>41</v>
      </c>
      <c r="E453" t="str">
        <f>IF(F453&lt;5,"Beginner",IF(F453&lt;=10,"Mid-Level","Senior"))</f>
        <v>Mid-Level</v>
      </c>
      <c r="F453" s="2">
        <v>10</v>
      </c>
      <c r="G453" t="s">
        <v>53</v>
      </c>
      <c r="H453" t="s">
        <v>62</v>
      </c>
      <c r="I453" s="2" t="s">
        <v>134</v>
      </c>
      <c r="J453" s="2" t="s">
        <v>134</v>
      </c>
      <c r="K453" s="2">
        <v>2</v>
      </c>
      <c r="L453" s="2">
        <v>2024</v>
      </c>
      <c r="M453" t="s">
        <v>31</v>
      </c>
      <c r="N453" t="s">
        <v>71</v>
      </c>
      <c r="O453" t="s">
        <v>76</v>
      </c>
      <c r="P453">
        <v>10734</v>
      </c>
      <c r="Q453">
        <v>14</v>
      </c>
      <c r="R453" s="4">
        <f>(P453*(1+Q453/100))</f>
        <v>12236.760000000002</v>
      </c>
    </row>
    <row r="454" spans="1:18" x14ac:dyDescent="0.3">
      <c r="A454" t="s">
        <v>12</v>
      </c>
      <c r="B454" t="s">
        <v>30</v>
      </c>
      <c r="C454" t="s">
        <v>5</v>
      </c>
      <c r="D454" t="s">
        <v>43</v>
      </c>
      <c r="E454" t="str">
        <f>IF(F454&lt;5,"Beginner",IF(F454&lt;=10,"Mid-Level","Senior"))</f>
        <v>Mid-Level</v>
      </c>
      <c r="F454" s="2">
        <v>5</v>
      </c>
      <c r="G454" t="s">
        <v>54</v>
      </c>
      <c r="H454" t="s">
        <v>61</v>
      </c>
      <c r="I454" s="2" t="s">
        <v>134</v>
      </c>
      <c r="J454" s="2" t="s">
        <v>134</v>
      </c>
      <c r="K454" s="2">
        <v>2</v>
      </c>
      <c r="L454" s="2">
        <v>2020</v>
      </c>
      <c r="M454" t="s">
        <v>26</v>
      </c>
      <c r="N454" t="s">
        <v>65</v>
      </c>
      <c r="O454" t="s">
        <v>75</v>
      </c>
      <c r="P454">
        <v>6022</v>
      </c>
      <c r="Q454">
        <v>6</v>
      </c>
      <c r="R454" s="4">
        <f>(P454*(1+Q454/100))</f>
        <v>6383.3200000000006</v>
      </c>
    </row>
    <row r="455" spans="1:18" x14ac:dyDescent="0.3">
      <c r="A455" t="s">
        <v>12</v>
      </c>
      <c r="B455" t="s">
        <v>31</v>
      </c>
      <c r="C455" t="s">
        <v>37</v>
      </c>
      <c r="D455" t="s">
        <v>49</v>
      </c>
      <c r="E455" t="str">
        <f>IF(F455&lt;5,"Beginner",IF(F455&lt;=10,"Mid-Level","Senior"))</f>
        <v>Senior</v>
      </c>
      <c r="F455" s="2">
        <v>17</v>
      </c>
      <c r="G455" t="s">
        <v>51</v>
      </c>
      <c r="H455" t="s">
        <v>61</v>
      </c>
      <c r="I455" s="2" t="s">
        <v>134</v>
      </c>
      <c r="J455" s="2" t="s">
        <v>134</v>
      </c>
      <c r="K455" s="2">
        <v>2</v>
      </c>
      <c r="L455" s="2">
        <v>2021</v>
      </c>
      <c r="M455" t="s">
        <v>25</v>
      </c>
      <c r="N455" t="s">
        <v>72</v>
      </c>
      <c r="O455" t="s">
        <v>76</v>
      </c>
      <c r="P455">
        <v>6723</v>
      </c>
      <c r="Q455">
        <v>12</v>
      </c>
      <c r="R455" s="4">
        <f>(P455*(1+Q455/100))</f>
        <v>7529.7600000000011</v>
      </c>
    </row>
    <row r="456" spans="1:18" x14ac:dyDescent="0.3">
      <c r="A456" t="s">
        <v>15</v>
      </c>
      <c r="B456" t="s">
        <v>29</v>
      </c>
      <c r="C456" t="s">
        <v>40</v>
      </c>
      <c r="D456" t="s">
        <v>50</v>
      </c>
      <c r="E456" t="str">
        <f>IF(F456&lt;5,"Beginner",IF(F456&lt;=10,"Mid-Level","Senior"))</f>
        <v>Senior</v>
      </c>
      <c r="F456" s="2">
        <v>20</v>
      </c>
      <c r="G456" t="s">
        <v>52</v>
      </c>
      <c r="H456" t="s">
        <v>60</v>
      </c>
      <c r="I456" s="2" t="s">
        <v>134</v>
      </c>
      <c r="J456" s="2" t="s">
        <v>134</v>
      </c>
      <c r="K456" s="2">
        <v>2</v>
      </c>
      <c r="L456" s="2">
        <v>2024</v>
      </c>
      <c r="M456" t="s">
        <v>22</v>
      </c>
      <c r="N456" t="s">
        <v>67</v>
      </c>
      <c r="O456" t="s">
        <v>76</v>
      </c>
      <c r="P456">
        <v>11262</v>
      </c>
      <c r="Q456">
        <v>12</v>
      </c>
      <c r="R456" s="4">
        <f>(P456*(1+Q456/100))</f>
        <v>12613.44</v>
      </c>
    </row>
    <row r="457" spans="1:18" x14ac:dyDescent="0.3">
      <c r="A457" t="s">
        <v>21</v>
      </c>
      <c r="B457" t="s">
        <v>31</v>
      </c>
      <c r="C457" t="s">
        <v>35</v>
      </c>
      <c r="D457" t="s">
        <v>43</v>
      </c>
      <c r="E457" t="str">
        <f>IF(F457&lt;5,"Beginner",IF(F457&lt;=10,"Mid-Level","Senior"))</f>
        <v>Senior</v>
      </c>
      <c r="F457" s="2">
        <v>16</v>
      </c>
      <c r="G457" t="s">
        <v>57</v>
      </c>
      <c r="H457" t="s">
        <v>62</v>
      </c>
      <c r="I457" s="2" t="s">
        <v>134</v>
      </c>
      <c r="J457" s="2" t="s">
        <v>134</v>
      </c>
      <c r="K457" s="2">
        <v>2</v>
      </c>
      <c r="L457" s="2">
        <v>2010</v>
      </c>
      <c r="M457" t="s">
        <v>26</v>
      </c>
      <c r="N457" t="s">
        <v>63</v>
      </c>
      <c r="O457" t="s">
        <v>77</v>
      </c>
      <c r="P457">
        <v>6788</v>
      </c>
      <c r="Q457">
        <v>11</v>
      </c>
      <c r="R457" s="4">
        <f>(P457*(1+Q457/100))</f>
        <v>7534.68</v>
      </c>
    </row>
    <row r="458" spans="1:18" x14ac:dyDescent="0.3">
      <c r="A458" t="s">
        <v>15</v>
      </c>
      <c r="B458" t="s">
        <v>24</v>
      </c>
      <c r="C458" t="s">
        <v>32</v>
      </c>
      <c r="D458" t="s">
        <v>44</v>
      </c>
      <c r="E458" t="str">
        <f>IF(F458&lt;5,"Beginner",IF(F458&lt;=10,"Mid-Level","Senior"))</f>
        <v>Senior</v>
      </c>
      <c r="F458" s="2">
        <v>16</v>
      </c>
      <c r="G458" t="s">
        <v>52</v>
      </c>
      <c r="H458" t="s">
        <v>60</v>
      </c>
      <c r="I458" s="2" t="s">
        <v>134</v>
      </c>
      <c r="J458" s="2" t="s">
        <v>134</v>
      </c>
      <c r="K458" s="2">
        <v>2</v>
      </c>
      <c r="L458" s="2">
        <v>2011</v>
      </c>
      <c r="M458" t="s">
        <v>26</v>
      </c>
      <c r="N458" t="s">
        <v>65</v>
      </c>
      <c r="O458" t="s">
        <v>75</v>
      </c>
      <c r="P458">
        <v>10624</v>
      </c>
      <c r="Q458">
        <v>14</v>
      </c>
      <c r="R458" s="4">
        <f>(P458*(1+Q458/100))</f>
        <v>12111.36</v>
      </c>
    </row>
    <row r="459" spans="1:18" x14ac:dyDescent="0.3">
      <c r="A459" t="s">
        <v>21</v>
      </c>
      <c r="B459" t="s">
        <v>28</v>
      </c>
      <c r="C459" t="s">
        <v>35</v>
      </c>
      <c r="D459" t="s">
        <v>43</v>
      </c>
      <c r="E459" t="str">
        <f>IF(F459&lt;5,"Beginner",IF(F459&lt;=10,"Mid-Level","Senior"))</f>
        <v>Senior</v>
      </c>
      <c r="F459" s="2">
        <v>15</v>
      </c>
      <c r="G459" t="s">
        <v>53</v>
      </c>
      <c r="H459" t="s">
        <v>62</v>
      </c>
      <c r="I459" s="2" t="s">
        <v>134</v>
      </c>
      <c r="J459" s="2" t="s">
        <v>134</v>
      </c>
      <c r="K459" s="2">
        <v>2</v>
      </c>
      <c r="L459" s="2">
        <v>2020</v>
      </c>
      <c r="M459" t="s">
        <v>27</v>
      </c>
      <c r="N459" t="s">
        <v>63</v>
      </c>
      <c r="O459" t="s">
        <v>76</v>
      </c>
      <c r="P459">
        <v>9395</v>
      </c>
      <c r="Q459">
        <v>11</v>
      </c>
      <c r="R459" s="4">
        <f>(P459*(1+Q459/100))</f>
        <v>10428.450000000001</v>
      </c>
    </row>
    <row r="460" spans="1:18" x14ac:dyDescent="0.3">
      <c r="A460" t="s">
        <v>21</v>
      </c>
      <c r="B460" t="s">
        <v>25</v>
      </c>
      <c r="C460" t="s">
        <v>37</v>
      </c>
      <c r="D460" t="s">
        <v>42</v>
      </c>
      <c r="E460" t="str">
        <f>IF(F460&lt;5,"Beginner",IF(F460&lt;=10,"Mid-Level","Senior"))</f>
        <v>Mid-Level</v>
      </c>
      <c r="F460" s="2">
        <v>6</v>
      </c>
      <c r="G460" t="s">
        <v>51</v>
      </c>
      <c r="H460" t="s">
        <v>62</v>
      </c>
      <c r="I460" s="2" t="s">
        <v>134</v>
      </c>
      <c r="J460" s="2" t="s">
        <v>134</v>
      </c>
      <c r="K460" s="2">
        <v>2</v>
      </c>
      <c r="L460" s="2">
        <v>2010</v>
      </c>
      <c r="M460" t="s">
        <v>28</v>
      </c>
      <c r="N460" t="s">
        <v>66</v>
      </c>
      <c r="O460" t="s">
        <v>73</v>
      </c>
      <c r="P460">
        <v>7877</v>
      </c>
      <c r="Q460">
        <v>11</v>
      </c>
      <c r="R460" s="4">
        <f>(P460*(1+Q460/100))</f>
        <v>8743.4700000000012</v>
      </c>
    </row>
    <row r="461" spans="1:18" x14ac:dyDescent="0.3">
      <c r="A461" t="s">
        <v>12</v>
      </c>
      <c r="B461" t="s">
        <v>24</v>
      </c>
      <c r="C461" t="s">
        <v>37</v>
      </c>
      <c r="D461" t="s">
        <v>42</v>
      </c>
      <c r="E461" t="str">
        <f>IF(F461&lt;5,"Beginner",IF(F461&lt;=10,"Mid-Level","Senior"))</f>
        <v>Senior</v>
      </c>
      <c r="F461" s="2">
        <v>17</v>
      </c>
      <c r="G461" t="s">
        <v>55</v>
      </c>
      <c r="H461" t="s">
        <v>61</v>
      </c>
      <c r="I461" s="2" t="s">
        <v>134</v>
      </c>
      <c r="J461" s="2" t="s">
        <v>134</v>
      </c>
      <c r="K461" s="2">
        <v>2</v>
      </c>
      <c r="L461" s="2">
        <v>2016</v>
      </c>
      <c r="M461" t="s">
        <v>22</v>
      </c>
      <c r="N461" t="s">
        <v>70</v>
      </c>
      <c r="O461" t="s">
        <v>75</v>
      </c>
      <c r="P461">
        <v>8609</v>
      </c>
      <c r="Q461">
        <v>8</v>
      </c>
      <c r="R461" s="4">
        <f>(P461*(1+Q461/100))</f>
        <v>9297.7200000000012</v>
      </c>
    </row>
    <row r="462" spans="1:18" x14ac:dyDescent="0.3">
      <c r="A462" t="s">
        <v>21</v>
      </c>
      <c r="B462" t="s">
        <v>30</v>
      </c>
      <c r="C462" t="s">
        <v>32</v>
      </c>
      <c r="D462" t="s">
        <v>42</v>
      </c>
      <c r="E462" t="str">
        <f>IF(F462&lt;5,"Beginner",IF(F462&lt;=10,"Mid-Level","Senior"))</f>
        <v>Senior</v>
      </c>
      <c r="F462" s="2">
        <v>13</v>
      </c>
      <c r="G462" t="s">
        <v>51</v>
      </c>
      <c r="H462" t="s">
        <v>62</v>
      </c>
      <c r="I462" s="2" t="s">
        <v>134</v>
      </c>
      <c r="J462" s="2" t="s">
        <v>134</v>
      </c>
      <c r="K462" s="2">
        <v>2</v>
      </c>
      <c r="L462" s="2">
        <v>2025</v>
      </c>
      <c r="M462" t="s">
        <v>31</v>
      </c>
      <c r="N462" t="s">
        <v>70</v>
      </c>
      <c r="O462" t="s">
        <v>76</v>
      </c>
      <c r="P462">
        <v>8220</v>
      </c>
      <c r="Q462">
        <v>14</v>
      </c>
      <c r="R462" s="4">
        <f>(P462*(1+Q462/100))</f>
        <v>9370.8000000000011</v>
      </c>
    </row>
    <row r="463" spans="1:18" x14ac:dyDescent="0.3">
      <c r="A463" t="s">
        <v>12</v>
      </c>
      <c r="B463" t="s">
        <v>27</v>
      </c>
      <c r="C463" t="s">
        <v>37</v>
      </c>
      <c r="D463" t="s">
        <v>46</v>
      </c>
      <c r="E463" t="str">
        <f>IF(F463&lt;5,"Beginner",IF(F463&lt;=10,"Mid-Level","Senior"))</f>
        <v>Beginner</v>
      </c>
      <c r="F463" s="2">
        <v>4</v>
      </c>
      <c r="G463" t="s">
        <v>51</v>
      </c>
      <c r="H463" t="s">
        <v>61</v>
      </c>
      <c r="I463" s="2" t="s">
        <v>134</v>
      </c>
      <c r="J463" s="2" t="s">
        <v>134</v>
      </c>
      <c r="K463" s="2">
        <v>2</v>
      </c>
      <c r="L463" s="2">
        <v>2010</v>
      </c>
      <c r="M463" t="s">
        <v>22</v>
      </c>
      <c r="N463" t="s">
        <v>67</v>
      </c>
      <c r="O463" t="s">
        <v>73</v>
      </c>
      <c r="P463">
        <v>9720</v>
      </c>
      <c r="Q463">
        <v>10</v>
      </c>
      <c r="R463" s="4">
        <f>(P463*(1+Q463/100))</f>
        <v>10692</v>
      </c>
    </row>
    <row r="464" spans="1:18" x14ac:dyDescent="0.3">
      <c r="A464" t="s">
        <v>21</v>
      </c>
      <c r="B464" t="s">
        <v>28</v>
      </c>
      <c r="C464" t="s">
        <v>5</v>
      </c>
      <c r="D464" t="s">
        <v>41</v>
      </c>
      <c r="E464" t="str">
        <f>IF(F464&lt;5,"Beginner",IF(F464&lt;=10,"Mid-Level","Senior"))</f>
        <v>Senior</v>
      </c>
      <c r="F464" s="2">
        <v>20</v>
      </c>
      <c r="G464" t="s">
        <v>53</v>
      </c>
      <c r="H464" t="s">
        <v>62</v>
      </c>
      <c r="I464" s="2" t="s">
        <v>134</v>
      </c>
      <c r="J464" s="2" t="s">
        <v>134</v>
      </c>
      <c r="K464" s="2">
        <v>2</v>
      </c>
      <c r="L464" s="2">
        <v>2021</v>
      </c>
      <c r="M464" t="s">
        <v>30</v>
      </c>
      <c r="N464" t="s">
        <v>66</v>
      </c>
      <c r="O464" t="s">
        <v>74</v>
      </c>
      <c r="P464">
        <v>9773</v>
      </c>
      <c r="Q464">
        <v>11</v>
      </c>
      <c r="R464" s="4">
        <f>(P464*(1+Q464/100))</f>
        <v>10848.03</v>
      </c>
    </row>
    <row r="465" spans="1:18" x14ac:dyDescent="0.3">
      <c r="A465" t="s">
        <v>12</v>
      </c>
      <c r="B465" t="s">
        <v>22</v>
      </c>
      <c r="C465" t="s">
        <v>33</v>
      </c>
      <c r="D465" t="s">
        <v>50</v>
      </c>
      <c r="E465" t="str">
        <f>IF(F465&lt;5,"Beginner",IF(F465&lt;=10,"Mid-Level","Senior"))</f>
        <v>Mid-Level</v>
      </c>
      <c r="F465" s="2">
        <v>10</v>
      </c>
      <c r="G465" t="s">
        <v>59</v>
      </c>
      <c r="H465" t="s">
        <v>61</v>
      </c>
      <c r="I465" s="2" t="s">
        <v>134</v>
      </c>
      <c r="J465" s="2" t="s">
        <v>134</v>
      </c>
      <c r="K465" s="2">
        <v>2</v>
      </c>
      <c r="L465" s="2">
        <v>2014</v>
      </c>
      <c r="M465" t="s">
        <v>30</v>
      </c>
      <c r="N465" t="s">
        <v>69</v>
      </c>
      <c r="O465" t="s">
        <v>74</v>
      </c>
      <c r="P465">
        <v>4152</v>
      </c>
      <c r="Q465">
        <v>6</v>
      </c>
      <c r="R465" s="4">
        <f>(P465*(1+Q465/100))</f>
        <v>4401.12</v>
      </c>
    </row>
    <row r="466" spans="1:18" x14ac:dyDescent="0.3">
      <c r="A466" t="s">
        <v>15</v>
      </c>
      <c r="B466" t="s">
        <v>28</v>
      </c>
      <c r="C466" t="s">
        <v>35</v>
      </c>
      <c r="D466" t="s">
        <v>42</v>
      </c>
      <c r="E466" t="str">
        <f>IF(F466&lt;5,"Beginner",IF(F466&lt;=10,"Mid-Level","Senior"))</f>
        <v>Mid-Level</v>
      </c>
      <c r="F466" s="2">
        <v>7</v>
      </c>
      <c r="G466" t="s">
        <v>51</v>
      </c>
      <c r="H466" t="s">
        <v>60</v>
      </c>
      <c r="I466" s="2" t="s">
        <v>134</v>
      </c>
      <c r="J466" s="2" t="s">
        <v>134</v>
      </c>
      <c r="K466" s="2">
        <v>2</v>
      </c>
      <c r="L466" s="2">
        <v>2020</v>
      </c>
      <c r="M466" t="s">
        <v>28</v>
      </c>
      <c r="N466" t="s">
        <v>69</v>
      </c>
      <c r="O466" t="s">
        <v>76</v>
      </c>
      <c r="P466">
        <v>8753</v>
      </c>
      <c r="Q466">
        <v>17</v>
      </c>
      <c r="R466" s="4">
        <f>(P466*(1+Q466/100))</f>
        <v>10241.01</v>
      </c>
    </row>
    <row r="467" spans="1:18" x14ac:dyDescent="0.3">
      <c r="A467" t="s">
        <v>12</v>
      </c>
      <c r="B467" t="s">
        <v>28</v>
      </c>
      <c r="C467" t="s">
        <v>33</v>
      </c>
      <c r="D467" t="s">
        <v>41</v>
      </c>
      <c r="E467" t="str">
        <f>IF(F467&lt;5,"Beginner",IF(F467&lt;=10,"Mid-Level","Senior"))</f>
        <v>Senior</v>
      </c>
      <c r="F467" s="2">
        <v>14</v>
      </c>
      <c r="G467" t="s">
        <v>59</v>
      </c>
      <c r="H467" t="s">
        <v>61</v>
      </c>
      <c r="I467" s="2" t="s">
        <v>134</v>
      </c>
      <c r="J467" s="2" t="s">
        <v>134</v>
      </c>
      <c r="K467" s="2">
        <v>2</v>
      </c>
      <c r="L467" s="2">
        <v>2018</v>
      </c>
      <c r="M467" t="s">
        <v>30</v>
      </c>
      <c r="N467" t="s">
        <v>72</v>
      </c>
      <c r="O467" t="s">
        <v>74</v>
      </c>
      <c r="P467">
        <v>8452</v>
      </c>
      <c r="Q467">
        <v>8</v>
      </c>
      <c r="R467" s="4">
        <f>(P467*(1+Q467/100))</f>
        <v>9128.16</v>
      </c>
    </row>
    <row r="468" spans="1:18" x14ac:dyDescent="0.3">
      <c r="A468" t="s">
        <v>15</v>
      </c>
      <c r="B468" t="s">
        <v>27</v>
      </c>
      <c r="C468" t="s">
        <v>40</v>
      </c>
      <c r="D468" t="s">
        <v>42</v>
      </c>
      <c r="E468" t="str">
        <f>IF(F468&lt;5,"Beginner",IF(F468&lt;=10,"Mid-Level","Senior"))</f>
        <v>Senior</v>
      </c>
      <c r="F468" s="2">
        <v>18</v>
      </c>
      <c r="G468" t="s">
        <v>59</v>
      </c>
      <c r="H468" t="s">
        <v>60</v>
      </c>
      <c r="I468" s="2" t="s">
        <v>134</v>
      </c>
      <c r="J468" s="2" t="s">
        <v>134</v>
      </c>
      <c r="K468" s="2">
        <v>2</v>
      </c>
      <c r="L468" s="2">
        <v>2021</v>
      </c>
      <c r="M468" t="s">
        <v>26</v>
      </c>
      <c r="N468" t="s">
        <v>70</v>
      </c>
      <c r="O468" t="s">
        <v>77</v>
      </c>
      <c r="P468">
        <v>15346</v>
      </c>
      <c r="Q468">
        <v>10</v>
      </c>
      <c r="R468" s="4">
        <f>(P468*(1+Q468/100))</f>
        <v>16880.600000000002</v>
      </c>
    </row>
    <row r="469" spans="1:18" x14ac:dyDescent="0.3">
      <c r="A469" t="s">
        <v>21</v>
      </c>
      <c r="B469" t="s">
        <v>29</v>
      </c>
      <c r="C469" t="s">
        <v>33</v>
      </c>
      <c r="D469" t="s">
        <v>45</v>
      </c>
      <c r="E469" t="str">
        <f>IF(F469&lt;5,"Beginner",IF(F469&lt;=10,"Mid-Level","Senior"))</f>
        <v>Senior</v>
      </c>
      <c r="F469" s="2">
        <v>12</v>
      </c>
      <c r="G469" t="s">
        <v>59</v>
      </c>
      <c r="H469" t="s">
        <v>62</v>
      </c>
      <c r="I469" s="2" t="s">
        <v>134</v>
      </c>
      <c r="J469" s="2" t="s">
        <v>134</v>
      </c>
      <c r="K469" s="2">
        <v>2</v>
      </c>
      <c r="L469" s="2">
        <v>2016</v>
      </c>
      <c r="M469" t="s">
        <v>30</v>
      </c>
      <c r="N469" t="s">
        <v>65</v>
      </c>
      <c r="O469" t="s">
        <v>73</v>
      </c>
      <c r="P469">
        <v>11789</v>
      </c>
      <c r="Q469">
        <v>12</v>
      </c>
      <c r="R469" s="4">
        <f>(P469*(1+Q469/100))</f>
        <v>13203.680000000002</v>
      </c>
    </row>
    <row r="470" spans="1:18" x14ac:dyDescent="0.3">
      <c r="A470" t="s">
        <v>12</v>
      </c>
      <c r="B470" t="s">
        <v>31</v>
      </c>
      <c r="C470" t="s">
        <v>40</v>
      </c>
      <c r="D470" t="s">
        <v>43</v>
      </c>
      <c r="E470" t="str">
        <f>IF(F470&lt;5,"Beginner",IF(F470&lt;=10,"Mid-Level","Senior"))</f>
        <v>Senior</v>
      </c>
      <c r="F470" s="2">
        <v>16</v>
      </c>
      <c r="G470" t="s">
        <v>59</v>
      </c>
      <c r="H470" t="s">
        <v>61</v>
      </c>
      <c r="I470" s="2" t="s">
        <v>134</v>
      </c>
      <c r="J470" s="2" t="s">
        <v>134</v>
      </c>
      <c r="K470" s="2">
        <v>2</v>
      </c>
      <c r="L470" s="2">
        <v>2013</v>
      </c>
      <c r="M470" t="s">
        <v>25</v>
      </c>
      <c r="N470" t="s">
        <v>65</v>
      </c>
      <c r="O470" t="s">
        <v>74</v>
      </c>
      <c r="P470">
        <v>5096</v>
      </c>
      <c r="Q470">
        <v>11</v>
      </c>
      <c r="R470" s="4">
        <f>(P470*(1+Q470/100))</f>
        <v>5656.56</v>
      </c>
    </row>
    <row r="471" spans="1:18" x14ac:dyDescent="0.3">
      <c r="A471" t="s">
        <v>21</v>
      </c>
      <c r="B471" t="s">
        <v>29</v>
      </c>
      <c r="C471" t="s">
        <v>33</v>
      </c>
      <c r="D471" t="s">
        <v>45</v>
      </c>
      <c r="E471" t="str">
        <f>IF(F471&lt;5,"Beginner",IF(F471&lt;=10,"Mid-Level","Senior"))</f>
        <v>Beginner</v>
      </c>
      <c r="F471" s="2">
        <v>3</v>
      </c>
      <c r="G471" t="s">
        <v>53</v>
      </c>
      <c r="H471" t="s">
        <v>62</v>
      </c>
      <c r="I471" s="2" t="s">
        <v>134</v>
      </c>
      <c r="J471" s="2" t="s">
        <v>134</v>
      </c>
      <c r="K471" s="2">
        <v>2</v>
      </c>
      <c r="L471" s="2">
        <v>2013</v>
      </c>
      <c r="M471" t="s">
        <v>25</v>
      </c>
      <c r="N471" t="s">
        <v>67</v>
      </c>
      <c r="O471" t="s">
        <v>74</v>
      </c>
      <c r="P471">
        <v>8593</v>
      </c>
      <c r="Q471">
        <v>10</v>
      </c>
      <c r="R471" s="4">
        <f>(P471*(1+Q471/100))</f>
        <v>9452.3000000000011</v>
      </c>
    </row>
    <row r="472" spans="1:18" x14ac:dyDescent="0.3">
      <c r="A472" t="s">
        <v>15</v>
      </c>
      <c r="B472" t="s">
        <v>29</v>
      </c>
      <c r="C472" t="s">
        <v>40</v>
      </c>
      <c r="D472" t="s">
        <v>44</v>
      </c>
      <c r="E472" t="str">
        <f>IF(F472&lt;5,"Beginner",IF(F472&lt;=10,"Mid-Level","Senior"))</f>
        <v>Senior</v>
      </c>
      <c r="F472" s="2">
        <v>11</v>
      </c>
      <c r="G472" t="s">
        <v>55</v>
      </c>
      <c r="H472" t="s">
        <v>60</v>
      </c>
      <c r="I472" s="2" t="s">
        <v>134</v>
      </c>
      <c r="J472" s="2" t="s">
        <v>134</v>
      </c>
      <c r="K472" s="2">
        <v>2</v>
      </c>
      <c r="L472" s="2">
        <v>2023</v>
      </c>
      <c r="M472" t="s">
        <v>30</v>
      </c>
      <c r="N472" t="s">
        <v>70</v>
      </c>
      <c r="O472" t="s">
        <v>73</v>
      </c>
      <c r="P472">
        <v>12809</v>
      </c>
      <c r="Q472">
        <v>14</v>
      </c>
      <c r="R472" s="4">
        <f>(P472*(1+Q472/100))</f>
        <v>14602.260000000002</v>
      </c>
    </row>
    <row r="473" spans="1:18" x14ac:dyDescent="0.3">
      <c r="A473" t="s">
        <v>15</v>
      </c>
      <c r="B473" t="s">
        <v>26</v>
      </c>
      <c r="C473" t="s">
        <v>39</v>
      </c>
      <c r="D473" t="s">
        <v>41</v>
      </c>
      <c r="E473" t="str">
        <f>IF(F473&lt;5,"Beginner",IF(F473&lt;=10,"Mid-Level","Senior"))</f>
        <v>Senior</v>
      </c>
      <c r="F473" s="2">
        <v>17</v>
      </c>
      <c r="G473" t="s">
        <v>59</v>
      </c>
      <c r="H473" t="s">
        <v>60</v>
      </c>
      <c r="I473" s="2" t="s">
        <v>134</v>
      </c>
      <c r="J473" s="2" t="s">
        <v>134</v>
      </c>
      <c r="K473" s="2">
        <v>2</v>
      </c>
      <c r="L473" s="2">
        <v>2017</v>
      </c>
      <c r="M473" t="s">
        <v>31</v>
      </c>
      <c r="N473" t="s">
        <v>67</v>
      </c>
      <c r="O473" t="s">
        <v>75</v>
      </c>
      <c r="P473">
        <v>12473</v>
      </c>
      <c r="Q473">
        <v>13</v>
      </c>
      <c r="R473" s="4">
        <f>(P473*(1+Q473/100))</f>
        <v>14094.489999999998</v>
      </c>
    </row>
    <row r="474" spans="1:18" x14ac:dyDescent="0.3">
      <c r="A474" t="s">
        <v>15</v>
      </c>
      <c r="B474" t="s">
        <v>22</v>
      </c>
      <c r="C474" t="s">
        <v>33</v>
      </c>
      <c r="D474" t="s">
        <v>44</v>
      </c>
      <c r="E474" t="str">
        <f>IF(F474&lt;5,"Beginner",IF(F474&lt;=10,"Mid-Level","Senior"))</f>
        <v>Mid-Level</v>
      </c>
      <c r="F474" s="2">
        <v>7</v>
      </c>
      <c r="G474" t="s">
        <v>54</v>
      </c>
      <c r="H474" t="s">
        <v>60</v>
      </c>
      <c r="I474" s="2" t="s">
        <v>134</v>
      </c>
      <c r="J474" s="2" t="s">
        <v>134</v>
      </c>
      <c r="K474" s="2">
        <v>2</v>
      </c>
      <c r="L474" s="2">
        <v>2021</v>
      </c>
      <c r="M474" t="s">
        <v>28</v>
      </c>
      <c r="N474" t="s">
        <v>65</v>
      </c>
      <c r="O474" t="s">
        <v>73</v>
      </c>
      <c r="P474">
        <v>12396</v>
      </c>
      <c r="Q474">
        <v>14</v>
      </c>
      <c r="R474" s="4">
        <f>(P474*(1+Q474/100))</f>
        <v>14131.440000000002</v>
      </c>
    </row>
    <row r="475" spans="1:18" x14ac:dyDescent="0.3">
      <c r="A475" t="s">
        <v>15</v>
      </c>
      <c r="B475" t="s">
        <v>25</v>
      </c>
      <c r="C475" t="s">
        <v>36</v>
      </c>
      <c r="D475" t="s">
        <v>46</v>
      </c>
      <c r="E475" t="str">
        <f>IF(F475&lt;5,"Beginner",IF(F475&lt;=10,"Mid-Level","Senior"))</f>
        <v>Mid-Level</v>
      </c>
      <c r="F475" s="2">
        <v>9</v>
      </c>
      <c r="G475" t="s">
        <v>55</v>
      </c>
      <c r="H475" t="s">
        <v>60</v>
      </c>
      <c r="I475" s="2" t="s">
        <v>134</v>
      </c>
      <c r="J475" s="2" t="s">
        <v>134</v>
      </c>
      <c r="K475" s="2">
        <v>2</v>
      </c>
      <c r="L475" s="2">
        <v>2017</v>
      </c>
      <c r="M475" t="s">
        <v>28</v>
      </c>
      <c r="N475" t="s">
        <v>69</v>
      </c>
      <c r="O475" t="s">
        <v>75</v>
      </c>
      <c r="P475">
        <v>8670</v>
      </c>
      <c r="Q475">
        <v>9</v>
      </c>
      <c r="R475" s="4">
        <f>(P475*(1+Q475/100))</f>
        <v>9450.3000000000011</v>
      </c>
    </row>
    <row r="476" spans="1:18" x14ac:dyDescent="0.3">
      <c r="A476" t="s">
        <v>12</v>
      </c>
      <c r="B476" t="s">
        <v>22</v>
      </c>
      <c r="C476" t="s">
        <v>36</v>
      </c>
      <c r="D476" t="s">
        <v>42</v>
      </c>
      <c r="E476" t="str">
        <f>IF(F476&lt;5,"Beginner",IF(F476&lt;=10,"Mid-Level","Senior"))</f>
        <v>Senior</v>
      </c>
      <c r="F476" s="2">
        <v>12</v>
      </c>
      <c r="G476" t="s">
        <v>56</v>
      </c>
      <c r="H476" t="s">
        <v>61</v>
      </c>
      <c r="I476" s="2" t="s">
        <v>134</v>
      </c>
      <c r="J476" s="2" t="s">
        <v>134</v>
      </c>
      <c r="K476" s="2">
        <v>2</v>
      </c>
      <c r="L476" s="2">
        <v>2020</v>
      </c>
      <c r="M476" t="s">
        <v>22</v>
      </c>
      <c r="N476" t="s">
        <v>66</v>
      </c>
      <c r="O476" t="s">
        <v>74</v>
      </c>
      <c r="P476">
        <v>8666</v>
      </c>
      <c r="Q476">
        <v>9</v>
      </c>
      <c r="R476" s="4">
        <f>(P476*(1+Q476/100))</f>
        <v>9445.94</v>
      </c>
    </row>
    <row r="477" spans="1:18" x14ac:dyDescent="0.3">
      <c r="A477" t="s">
        <v>15</v>
      </c>
      <c r="B477" t="s">
        <v>22</v>
      </c>
      <c r="C477" t="s">
        <v>40</v>
      </c>
      <c r="D477" t="s">
        <v>43</v>
      </c>
      <c r="E477" t="str">
        <f>IF(F477&lt;5,"Beginner",IF(F477&lt;=10,"Mid-Level","Senior"))</f>
        <v>Mid-Level</v>
      </c>
      <c r="F477" s="2">
        <v>9</v>
      </c>
      <c r="G477" t="s">
        <v>58</v>
      </c>
      <c r="H477" t="s">
        <v>60</v>
      </c>
      <c r="I477" s="2" t="s">
        <v>134</v>
      </c>
      <c r="J477" s="2" t="s">
        <v>134</v>
      </c>
      <c r="K477" s="2">
        <v>2</v>
      </c>
      <c r="L477" s="2">
        <v>2017</v>
      </c>
      <c r="M477" t="s">
        <v>29</v>
      </c>
      <c r="N477" t="s">
        <v>69</v>
      </c>
      <c r="O477" t="s">
        <v>76</v>
      </c>
      <c r="P477">
        <v>8734</v>
      </c>
      <c r="Q477">
        <v>17</v>
      </c>
      <c r="R477" s="4">
        <f>(P477*(1+Q477/100))</f>
        <v>10218.779999999999</v>
      </c>
    </row>
    <row r="478" spans="1:18" x14ac:dyDescent="0.3">
      <c r="A478" t="s">
        <v>15</v>
      </c>
      <c r="B478" t="s">
        <v>24</v>
      </c>
      <c r="C478" t="s">
        <v>34</v>
      </c>
      <c r="D478" t="s">
        <v>47</v>
      </c>
      <c r="E478" t="str">
        <f>IF(F478&lt;5,"Beginner",IF(F478&lt;=10,"Mid-Level","Senior"))</f>
        <v>Senior</v>
      </c>
      <c r="F478" s="2">
        <v>12</v>
      </c>
      <c r="G478" t="s">
        <v>56</v>
      </c>
      <c r="H478" t="s">
        <v>60</v>
      </c>
      <c r="I478" s="2" t="s">
        <v>134</v>
      </c>
      <c r="J478" s="2" t="s">
        <v>134</v>
      </c>
      <c r="K478" s="2">
        <v>2</v>
      </c>
      <c r="L478" s="2">
        <v>2024</v>
      </c>
      <c r="M478" t="s">
        <v>25</v>
      </c>
      <c r="N478" t="s">
        <v>67</v>
      </c>
      <c r="O478" t="s">
        <v>76</v>
      </c>
      <c r="P478">
        <v>12406</v>
      </c>
      <c r="Q478">
        <v>14</v>
      </c>
      <c r="R478" s="4">
        <f>(P478*(1+Q478/100))</f>
        <v>14142.840000000002</v>
      </c>
    </row>
    <row r="479" spans="1:18" x14ac:dyDescent="0.3">
      <c r="A479" t="s">
        <v>12</v>
      </c>
      <c r="B479" t="s">
        <v>31</v>
      </c>
      <c r="C479" t="s">
        <v>37</v>
      </c>
      <c r="D479" t="s">
        <v>42</v>
      </c>
      <c r="E479" t="str">
        <f>IF(F479&lt;5,"Beginner",IF(F479&lt;=10,"Mid-Level","Senior"))</f>
        <v>Senior</v>
      </c>
      <c r="F479" s="2">
        <v>17</v>
      </c>
      <c r="G479" t="s">
        <v>58</v>
      </c>
      <c r="H479" t="s">
        <v>61</v>
      </c>
      <c r="I479" s="2" t="s">
        <v>134</v>
      </c>
      <c r="J479" s="2" t="s">
        <v>134</v>
      </c>
      <c r="K479" s="2">
        <v>2</v>
      </c>
      <c r="L479" s="2">
        <v>2016</v>
      </c>
      <c r="M479" t="s">
        <v>28</v>
      </c>
      <c r="N479" t="s">
        <v>67</v>
      </c>
      <c r="O479" t="s">
        <v>74</v>
      </c>
      <c r="P479">
        <v>7469</v>
      </c>
      <c r="Q479">
        <v>7</v>
      </c>
      <c r="R479" s="4">
        <f>(P479*(1+Q479/100))</f>
        <v>7991.8300000000008</v>
      </c>
    </row>
    <row r="480" spans="1:18" x14ac:dyDescent="0.3">
      <c r="A480" t="s">
        <v>15</v>
      </c>
      <c r="B480" t="s">
        <v>24</v>
      </c>
      <c r="C480" t="s">
        <v>32</v>
      </c>
      <c r="D480" t="s">
        <v>47</v>
      </c>
      <c r="E480" t="str">
        <f>IF(F480&lt;5,"Beginner",IF(F480&lt;=10,"Mid-Level","Senior"))</f>
        <v>Senior</v>
      </c>
      <c r="F480" s="2">
        <v>13</v>
      </c>
      <c r="G480" t="s">
        <v>55</v>
      </c>
      <c r="H480" t="s">
        <v>60</v>
      </c>
      <c r="I480" s="2" t="s">
        <v>134</v>
      </c>
      <c r="J480" s="2" t="s">
        <v>134</v>
      </c>
      <c r="K480" s="2">
        <v>2</v>
      </c>
      <c r="L480" s="2">
        <v>2013</v>
      </c>
      <c r="M480" t="s">
        <v>28</v>
      </c>
      <c r="N480" t="s">
        <v>65</v>
      </c>
      <c r="O480" t="s">
        <v>73</v>
      </c>
      <c r="P480">
        <v>12145</v>
      </c>
      <c r="Q480">
        <v>9</v>
      </c>
      <c r="R480" s="4">
        <f>(P480*(1+Q480/100))</f>
        <v>13238.050000000001</v>
      </c>
    </row>
    <row r="481" spans="1:18" x14ac:dyDescent="0.3">
      <c r="A481" t="s">
        <v>12</v>
      </c>
      <c r="B481" t="s">
        <v>26</v>
      </c>
      <c r="C481" t="s">
        <v>5</v>
      </c>
      <c r="D481" t="s">
        <v>49</v>
      </c>
      <c r="E481" t="str">
        <f>IF(F481&lt;5,"Beginner",IF(F481&lt;=10,"Mid-Level","Senior"))</f>
        <v>Senior</v>
      </c>
      <c r="F481" s="2">
        <v>11</v>
      </c>
      <c r="G481" t="s">
        <v>59</v>
      </c>
      <c r="H481" t="s">
        <v>61</v>
      </c>
      <c r="I481" s="2" t="s">
        <v>134</v>
      </c>
      <c r="J481" s="2" t="s">
        <v>134</v>
      </c>
      <c r="K481" s="2">
        <v>2</v>
      </c>
      <c r="L481" s="2">
        <v>2014</v>
      </c>
      <c r="M481" t="s">
        <v>26</v>
      </c>
      <c r="N481" t="s">
        <v>66</v>
      </c>
      <c r="O481" t="s">
        <v>74</v>
      </c>
      <c r="P481">
        <v>6923</v>
      </c>
      <c r="Q481">
        <v>6</v>
      </c>
      <c r="R481" s="4">
        <f>(P481*(1+Q481/100))</f>
        <v>7338.38</v>
      </c>
    </row>
    <row r="482" spans="1:18" x14ac:dyDescent="0.3">
      <c r="A482" t="s">
        <v>21</v>
      </c>
      <c r="B482" t="s">
        <v>27</v>
      </c>
      <c r="C482" t="s">
        <v>33</v>
      </c>
      <c r="D482" t="s">
        <v>41</v>
      </c>
      <c r="E482" t="str">
        <f>IF(F482&lt;5,"Beginner",IF(F482&lt;=10,"Mid-Level","Senior"))</f>
        <v>Senior</v>
      </c>
      <c r="F482" s="2">
        <v>20</v>
      </c>
      <c r="G482" t="s">
        <v>53</v>
      </c>
      <c r="H482" t="s">
        <v>62</v>
      </c>
      <c r="I482" s="2" t="s">
        <v>134</v>
      </c>
      <c r="J482" s="2" t="s">
        <v>134</v>
      </c>
      <c r="K482" s="2">
        <v>2</v>
      </c>
      <c r="L482" s="2">
        <v>2013</v>
      </c>
      <c r="M482" t="s">
        <v>24</v>
      </c>
      <c r="N482" t="s">
        <v>63</v>
      </c>
      <c r="O482" t="s">
        <v>77</v>
      </c>
      <c r="P482">
        <v>9195</v>
      </c>
      <c r="Q482">
        <v>13</v>
      </c>
      <c r="R482" s="4">
        <f>(P482*(1+Q482/100))</f>
        <v>10390.349999999999</v>
      </c>
    </row>
    <row r="483" spans="1:18" x14ac:dyDescent="0.3">
      <c r="A483" t="s">
        <v>21</v>
      </c>
      <c r="B483" t="s">
        <v>22</v>
      </c>
      <c r="C483" t="s">
        <v>33</v>
      </c>
      <c r="D483" t="s">
        <v>45</v>
      </c>
      <c r="E483" t="str">
        <f>IF(F483&lt;5,"Beginner",IF(F483&lt;=10,"Mid-Level","Senior"))</f>
        <v>Beginner</v>
      </c>
      <c r="F483" s="2">
        <v>4</v>
      </c>
      <c r="G483" t="s">
        <v>58</v>
      </c>
      <c r="H483" t="s">
        <v>62</v>
      </c>
      <c r="I483" s="2" t="s">
        <v>134</v>
      </c>
      <c r="J483" s="2" t="s">
        <v>134</v>
      </c>
      <c r="K483" s="2">
        <v>2</v>
      </c>
      <c r="L483" s="2">
        <v>2021</v>
      </c>
      <c r="M483" t="s">
        <v>28</v>
      </c>
      <c r="N483" t="s">
        <v>68</v>
      </c>
      <c r="O483" t="s">
        <v>75</v>
      </c>
      <c r="P483">
        <v>10690</v>
      </c>
      <c r="Q483">
        <v>14</v>
      </c>
      <c r="R483" s="4">
        <f>(P483*(1+Q483/100))</f>
        <v>12186.600000000002</v>
      </c>
    </row>
    <row r="484" spans="1:18" x14ac:dyDescent="0.3">
      <c r="A484" t="s">
        <v>15</v>
      </c>
      <c r="B484" t="s">
        <v>26</v>
      </c>
      <c r="C484" t="s">
        <v>40</v>
      </c>
      <c r="D484" t="s">
        <v>47</v>
      </c>
      <c r="E484" t="str">
        <f>IF(F484&lt;5,"Beginner",IF(F484&lt;=10,"Mid-Level","Senior"))</f>
        <v>Senior</v>
      </c>
      <c r="F484" s="2">
        <v>14</v>
      </c>
      <c r="G484" t="s">
        <v>53</v>
      </c>
      <c r="H484" t="s">
        <v>60</v>
      </c>
      <c r="I484" s="2" t="s">
        <v>134</v>
      </c>
      <c r="J484" s="2" t="s">
        <v>134</v>
      </c>
      <c r="K484" s="2">
        <v>2</v>
      </c>
      <c r="L484" s="2">
        <v>2022</v>
      </c>
      <c r="M484" t="s">
        <v>26</v>
      </c>
      <c r="N484" t="s">
        <v>63</v>
      </c>
      <c r="O484" t="s">
        <v>76</v>
      </c>
      <c r="P484">
        <v>14709</v>
      </c>
      <c r="Q484">
        <v>17</v>
      </c>
      <c r="R484" s="4">
        <f>(P484*(1+Q484/100))</f>
        <v>17209.53</v>
      </c>
    </row>
    <row r="485" spans="1:18" x14ac:dyDescent="0.3">
      <c r="A485" t="s">
        <v>15</v>
      </c>
      <c r="B485" t="s">
        <v>25</v>
      </c>
      <c r="C485" t="s">
        <v>37</v>
      </c>
      <c r="D485" t="s">
        <v>45</v>
      </c>
      <c r="E485" t="str">
        <f>IF(F485&lt;5,"Beginner",IF(F485&lt;=10,"Mid-Level","Senior"))</f>
        <v>Mid-Level</v>
      </c>
      <c r="F485" s="2">
        <v>10</v>
      </c>
      <c r="G485" t="s">
        <v>56</v>
      </c>
      <c r="H485" t="s">
        <v>60</v>
      </c>
      <c r="I485" s="2" t="s">
        <v>134</v>
      </c>
      <c r="J485" s="2" t="s">
        <v>134</v>
      </c>
      <c r="K485" s="2">
        <v>2</v>
      </c>
      <c r="L485" s="2">
        <v>2023</v>
      </c>
      <c r="M485" t="s">
        <v>25</v>
      </c>
      <c r="N485" t="s">
        <v>68</v>
      </c>
      <c r="O485" t="s">
        <v>73</v>
      </c>
      <c r="P485">
        <v>9291</v>
      </c>
      <c r="Q485">
        <v>14</v>
      </c>
      <c r="R485" s="4">
        <f>(P485*(1+Q485/100))</f>
        <v>10591.740000000002</v>
      </c>
    </row>
    <row r="486" spans="1:18" x14ac:dyDescent="0.3">
      <c r="A486" t="s">
        <v>15</v>
      </c>
      <c r="B486" t="s">
        <v>22</v>
      </c>
      <c r="C486" t="s">
        <v>36</v>
      </c>
      <c r="D486" t="s">
        <v>48</v>
      </c>
      <c r="E486" t="str">
        <f>IF(F486&lt;5,"Beginner",IF(F486&lt;=10,"Mid-Level","Senior"))</f>
        <v>Senior</v>
      </c>
      <c r="F486" s="2">
        <v>14</v>
      </c>
      <c r="G486" t="s">
        <v>52</v>
      </c>
      <c r="H486" t="s">
        <v>60</v>
      </c>
      <c r="I486" s="2" t="s">
        <v>134</v>
      </c>
      <c r="J486" s="2" t="s">
        <v>134</v>
      </c>
      <c r="K486" s="2">
        <v>2</v>
      </c>
      <c r="L486" s="2">
        <v>2013</v>
      </c>
      <c r="M486" t="s">
        <v>27</v>
      </c>
      <c r="N486" t="s">
        <v>67</v>
      </c>
      <c r="O486" t="s">
        <v>73</v>
      </c>
      <c r="P486">
        <v>13590</v>
      </c>
      <c r="Q486">
        <v>15</v>
      </c>
      <c r="R486" s="4">
        <f>(P486*(1+Q486/100))</f>
        <v>15628.499999999998</v>
      </c>
    </row>
    <row r="487" spans="1:18" x14ac:dyDescent="0.3">
      <c r="A487" t="s">
        <v>21</v>
      </c>
      <c r="B487" t="s">
        <v>28</v>
      </c>
      <c r="C487" t="s">
        <v>37</v>
      </c>
      <c r="D487" t="s">
        <v>49</v>
      </c>
      <c r="E487" t="str">
        <f>IF(F487&lt;5,"Beginner",IF(F487&lt;=10,"Mid-Level","Senior"))</f>
        <v>Mid-Level</v>
      </c>
      <c r="F487" s="2">
        <v>10</v>
      </c>
      <c r="G487" t="s">
        <v>57</v>
      </c>
      <c r="H487" t="s">
        <v>62</v>
      </c>
      <c r="I487" s="2" t="s">
        <v>134</v>
      </c>
      <c r="J487" s="2" t="s">
        <v>134</v>
      </c>
      <c r="K487" s="2">
        <v>2</v>
      </c>
      <c r="L487" s="2">
        <v>2013</v>
      </c>
      <c r="M487" t="s">
        <v>22</v>
      </c>
      <c r="N487" t="s">
        <v>68</v>
      </c>
      <c r="O487" t="s">
        <v>73</v>
      </c>
      <c r="P487">
        <v>11200</v>
      </c>
      <c r="Q487">
        <v>12</v>
      </c>
      <c r="R487" s="4">
        <f>(P487*(1+Q487/100))</f>
        <v>12544.000000000002</v>
      </c>
    </row>
    <row r="488" spans="1:18" x14ac:dyDescent="0.3">
      <c r="A488" t="s">
        <v>12</v>
      </c>
      <c r="B488" t="s">
        <v>31</v>
      </c>
      <c r="C488" t="s">
        <v>37</v>
      </c>
      <c r="D488" t="s">
        <v>47</v>
      </c>
      <c r="E488" t="str">
        <f>IF(F488&lt;5,"Beginner",IF(F488&lt;=10,"Mid-Level","Senior"))</f>
        <v>Mid-Level</v>
      </c>
      <c r="F488" s="2">
        <v>5</v>
      </c>
      <c r="G488" t="s">
        <v>52</v>
      </c>
      <c r="H488" t="s">
        <v>61</v>
      </c>
      <c r="I488" s="2" t="s">
        <v>134</v>
      </c>
      <c r="J488" s="2" t="s">
        <v>134</v>
      </c>
      <c r="K488" s="2">
        <v>2</v>
      </c>
      <c r="L488" s="2">
        <v>2014</v>
      </c>
      <c r="M488" t="s">
        <v>31</v>
      </c>
      <c r="N488" t="s">
        <v>66</v>
      </c>
      <c r="O488" t="s">
        <v>76</v>
      </c>
      <c r="P488">
        <v>8915</v>
      </c>
      <c r="Q488">
        <v>11</v>
      </c>
      <c r="R488" s="4">
        <f>(P488*(1+Q488/100))</f>
        <v>9895.6500000000015</v>
      </c>
    </row>
    <row r="489" spans="1:18" x14ac:dyDescent="0.3">
      <c r="A489" t="s">
        <v>15</v>
      </c>
      <c r="B489" t="s">
        <v>24</v>
      </c>
      <c r="C489" t="s">
        <v>40</v>
      </c>
      <c r="D489" t="s">
        <v>46</v>
      </c>
      <c r="E489" t="str">
        <f>IF(F489&lt;5,"Beginner",IF(F489&lt;=10,"Mid-Level","Senior"))</f>
        <v>Senior</v>
      </c>
      <c r="F489" s="2">
        <v>14</v>
      </c>
      <c r="G489" t="s">
        <v>54</v>
      </c>
      <c r="H489" t="s">
        <v>60</v>
      </c>
      <c r="I489" s="2" t="s">
        <v>134</v>
      </c>
      <c r="J489" s="2" t="s">
        <v>134</v>
      </c>
      <c r="K489" s="2">
        <v>2</v>
      </c>
      <c r="L489" s="2">
        <v>2015</v>
      </c>
      <c r="M489" t="s">
        <v>23</v>
      </c>
      <c r="N489" t="s">
        <v>66</v>
      </c>
      <c r="O489" t="s">
        <v>74</v>
      </c>
      <c r="P489">
        <v>9133</v>
      </c>
      <c r="Q489">
        <v>14</v>
      </c>
      <c r="R489" s="4">
        <f>(P489*(1+Q489/100))</f>
        <v>10411.620000000001</v>
      </c>
    </row>
    <row r="490" spans="1:18" x14ac:dyDescent="0.3">
      <c r="A490" t="s">
        <v>12</v>
      </c>
      <c r="B490" t="s">
        <v>30</v>
      </c>
      <c r="C490" t="s">
        <v>39</v>
      </c>
      <c r="D490" t="s">
        <v>50</v>
      </c>
      <c r="E490" t="str">
        <f>IF(F490&lt;5,"Beginner",IF(F490&lt;=10,"Mid-Level","Senior"))</f>
        <v>Senior</v>
      </c>
      <c r="F490" s="2">
        <v>16</v>
      </c>
      <c r="G490" t="s">
        <v>57</v>
      </c>
      <c r="H490" t="s">
        <v>61</v>
      </c>
      <c r="I490" s="2" t="s">
        <v>134</v>
      </c>
      <c r="J490" s="2" t="s">
        <v>134</v>
      </c>
      <c r="K490" s="2">
        <v>2</v>
      </c>
      <c r="L490" s="2">
        <v>2022</v>
      </c>
      <c r="M490" t="s">
        <v>25</v>
      </c>
      <c r="N490" t="s">
        <v>67</v>
      </c>
      <c r="O490" t="s">
        <v>74</v>
      </c>
      <c r="P490">
        <v>9421</v>
      </c>
      <c r="Q490">
        <v>10</v>
      </c>
      <c r="R490" s="4">
        <f>(P490*(1+Q490/100))</f>
        <v>10363.1</v>
      </c>
    </row>
    <row r="491" spans="1:18" x14ac:dyDescent="0.3">
      <c r="A491" t="s">
        <v>12</v>
      </c>
      <c r="B491" t="s">
        <v>28</v>
      </c>
      <c r="C491" t="s">
        <v>38</v>
      </c>
      <c r="D491" t="s">
        <v>42</v>
      </c>
      <c r="E491" t="str">
        <f>IF(F491&lt;5,"Beginner",IF(F491&lt;=10,"Mid-Level","Senior"))</f>
        <v>Senior</v>
      </c>
      <c r="F491" s="2">
        <v>17</v>
      </c>
      <c r="G491" t="s">
        <v>54</v>
      </c>
      <c r="H491" t="s">
        <v>61</v>
      </c>
      <c r="I491" s="2" t="s">
        <v>134</v>
      </c>
      <c r="J491" s="2" t="s">
        <v>134</v>
      </c>
      <c r="K491" s="2">
        <v>2</v>
      </c>
      <c r="L491" s="2">
        <v>2018</v>
      </c>
      <c r="M491" t="s">
        <v>25</v>
      </c>
      <c r="N491" t="s">
        <v>65</v>
      </c>
      <c r="O491" t="s">
        <v>77</v>
      </c>
      <c r="P491">
        <v>7876</v>
      </c>
      <c r="Q491">
        <v>6</v>
      </c>
      <c r="R491" s="4">
        <f>(P491*(1+Q491/100))</f>
        <v>8348.5600000000013</v>
      </c>
    </row>
    <row r="492" spans="1:18" x14ac:dyDescent="0.3">
      <c r="A492" t="s">
        <v>15</v>
      </c>
      <c r="B492" t="s">
        <v>30</v>
      </c>
      <c r="C492" t="s">
        <v>5</v>
      </c>
      <c r="D492" t="s">
        <v>44</v>
      </c>
      <c r="E492" t="str">
        <f>IF(F492&lt;5,"Beginner",IF(F492&lt;=10,"Mid-Level","Senior"))</f>
        <v>Beginner</v>
      </c>
      <c r="F492" s="2">
        <v>2</v>
      </c>
      <c r="G492" t="s">
        <v>52</v>
      </c>
      <c r="H492" t="s">
        <v>60</v>
      </c>
      <c r="I492" s="2" t="s">
        <v>134</v>
      </c>
      <c r="J492" s="2" t="s">
        <v>134</v>
      </c>
      <c r="K492" s="2">
        <v>2</v>
      </c>
      <c r="L492" s="2">
        <v>2010</v>
      </c>
      <c r="M492" t="s">
        <v>25</v>
      </c>
      <c r="N492" t="s">
        <v>71</v>
      </c>
      <c r="O492" t="s">
        <v>73</v>
      </c>
      <c r="P492">
        <v>10869</v>
      </c>
      <c r="Q492">
        <v>14</v>
      </c>
      <c r="R492" s="4">
        <f>(P492*(1+Q492/100))</f>
        <v>12390.660000000002</v>
      </c>
    </row>
    <row r="493" spans="1:18" x14ac:dyDescent="0.3">
      <c r="A493" t="s">
        <v>12</v>
      </c>
      <c r="B493" t="s">
        <v>26</v>
      </c>
      <c r="C493" t="s">
        <v>32</v>
      </c>
      <c r="D493" t="s">
        <v>46</v>
      </c>
      <c r="E493" t="str">
        <f>IF(F493&lt;5,"Beginner",IF(F493&lt;=10,"Mid-Level","Senior"))</f>
        <v>Senior</v>
      </c>
      <c r="F493" s="2">
        <v>17</v>
      </c>
      <c r="G493" t="s">
        <v>53</v>
      </c>
      <c r="H493" t="s">
        <v>61</v>
      </c>
      <c r="I493" s="2" t="s">
        <v>134</v>
      </c>
      <c r="J493" s="2" t="s">
        <v>134</v>
      </c>
      <c r="K493" s="2">
        <v>2</v>
      </c>
      <c r="L493" s="2">
        <v>2010</v>
      </c>
      <c r="M493" t="s">
        <v>22</v>
      </c>
      <c r="N493" t="s">
        <v>66</v>
      </c>
      <c r="O493" t="s">
        <v>75</v>
      </c>
      <c r="P493">
        <v>6124</v>
      </c>
      <c r="Q493">
        <v>11</v>
      </c>
      <c r="R493" s="4">
        <f>(P493*(1+Q493/100))</f>
        <v>6797.64</v>
      </c>
    </row>
    <row r="494" spans="1:18" x14ac:dyDescent="0.3">
      <c r="A494" t="s">
        <v>15</v>
      </c>
      <c r="B494" t="s">
        <v>24</v>
      </c>
      <c r="C494" t="s">
        <v>34</v>
      </c>
      <c r="D494" t="s">
        <v>41</v>
      </c>
      <c r="E494" t="str">
        <f>IF(F494&lt;5,"Beginner",IF(F494&lt;=10,"Mid-Level","Senior"))</f>
        <v>Senior</v>
      </c>
      <c r="F494" s="2">
        <v>11</v>
      </c>
      <c r="G494" t="s">
        <v>58</v>
      </c>
      <c r="H494" t="s">
        <v>60</v>
      </c>
      <c r="I494" s="2" t="s">
        <v>134</v>
      </c>
      <c r="J494" s="2" t="s">
        <v>134</v>
      </c>
      <c r="K494" s="2">
        <v>2</v>
      </c>
      <c r="L494" s="2">
        <v>2022</v>
      </c>
      <c r="M494" t="s">
        <v>29</v>
      </c>
      <c r="N494" t="s">
        <v>68</v>
      </c>
      <c r="O494" t="s">
        <v>76</v>
      </c>
      <c r="P494">
        <v>13664</v>
      </c>
      <c r="Q494">
        <v>10</v>
      </c>
      <c r="R494" s="4">
        <f>(P494*(1+Q494/100))</f>
        <v>15030.400000000001</v>
      </c>
    </row>
    <row r="495" spans="1:18" x14ac:dyDescent="0.3">
      <c r="A495" t="s">
        <v>12</v>
      </c>
      <c r="B495" t="s">
        <v>23</v>
      </c>
      <c r="C495" t="s">
        <v>37</v>
      </c>
      <c r="D495" t="s">
        <v>44</v>
      </c>
      <c r="E495" t="str">
        <f>IF(F495&lt;5,"Beginner",IF(F495&lt;=10,"Mid-Level","Senior"))</f>
        <v>Senior</v>
      </c>
      <c r="F495" s="2">
        <v>19</v>
      </c>
      <c r="G495" t="s">
        <v>52</v>
      </c>
      <c r="H495" t="s">
        <v>61</v>
      </c>
      <c r="I495" s="2" t="s">
        <v>134</v>
      </c>
      <c r="J495" s="2" t="s">
        <v>134</v>
      </c>
      <c r="K495" s="2">
        <v>2</v>
      </c>
      <c r="L495" s="2">
        <v>2011</v>
      </c>
      <c r="M495" t="s">
        <v>22</v>
      </c>
      <c r="N495" t="s">
        <v>69</v>
      </c>
      <c r="O495" t="s">
        <v>76</v>
      </c>
      <c r="P495">
        <v>7795</v>
      </c>
      <c r="Q495">
        <v>8</v>
      </c>
      <c r="R495" s="4">
        <f>(P495*(1+Q495/100))</f>
        <v>8418.6</v>
      </c>
    </row>
    <row r="496" spans="1:18" x14ac:dyDescent="0.3">
      <c r="A496" t="s">
        <v>21</v>
      </c>
      <c r="B496" t="s">
        <v>24</v>
      </c>
      <c r="C496" t="s">
        <v>38</v>
      </c>
      <c r="D496" t="s">
        <v>47</v>
      </c>
      <c r="E496" t="str">
        <f>IF(F496&lt;5,"Beginner",IF(F496&lt;=10,"Mid-Level","Senior"))</f>
        <v>Beginner</v>
      </c>
      <c r="F496" s="2">
        <v>1</v>
      </c>
      <c r="G496" t="s">
        <v>54</v>
      </c>
      <c r="H496" t="s">
        <v>62</v>
      </c>
      <c r="I496" s="2" t="s">
        <v>134</v>
      </c>
      <c r="J496" s="2" t="s">
        <v>134</v>
      </c>
      <c r="K496" s="2">
        <v>2</v>
      </c>
      <c r="L496" s="2">
        <v>2015</v>
      </c>
      <c r="M496" t="s">
        <v>27</v>
      </c>
      <c r="N496" t="s">
        <v>65</v>
      </c>
      <c r="O496" t="s">
        <v>74</v>
      </c>
      <c r="P496">
        <v>6248</v>
      </c>
      <c r="Q496">
        <v>10</v>
      </c>
      <c r="R496" s="4">
        <f>(P496*(1+Q496/100))</f>
        <v>6872.8</v>
      </c>
    </row>
    <row r="497" spans="1:18" x14ac:dyDescent="0.3">
      <c r="A497" t="s">
        <v>12</v>
      </c>
      <c r="B497" t="s">
        <v>27</v>
      </c>
      <c r="C497" t="s">
        <v>37</v>
      </c>
      <c r="D497" t="s">
        <v>47</v>
      </c>
      <c r="E497" t="str">
        <f>IF(F497&lt;5,"Beginner",IF(F497&lt;=10,"Mid-Level","Senior"))</f>
        <v>Senior</v>
      </c>
      <c r="F497" s="2">
        <v>11</v>
      </c>
      <c r="G497" t="s">
        <v>53</v>
      </c>
      <c r="H497" t="s">
        <v>61</v>
      </c>
      <c r="I497" s="2" t="s">
        <v>134</v>
      </c>
      <c r="J497" s="2" t="s">
        <v>134</v>
      </c>
      <c r="K497" s="2">
        <v>2</v>
      </c>
      <c r="L497" s="2">
        <v>2017</v>
      </c>
      <c r="M497" t="s">
        <v>29</v>
      </c>
      <c r="N497" t="s">
        <v>68</v>
      </c>
      <c r="O497" t="s">
        <v>74</v>
      </c>
      <c r="P497">
        <v>4747</v>
      </c>
      <c r="Q497">
        <v>10</v>
      </c>
      <c r="R497" s="4">
        <f>(P497*(1+Q497/100))</f>
        <v>5221.7000000000007</v>
      </c>
    </row>
    <row r="498" spans="1:18" x14ac:dyDescent="0.3">
      <c r="A498" t="s">
        <v>15</v>
      </c>
      <c r="B498" t="s">
        <v>26</v>
      </c>
      <c r="C498" t="s">
        <v>36</v>
      </c>
      <c r="D498" t="s">
        <v>49</v>
      </c>
      <c r="E498" t="str">
        <f>IF(F498&lt;5,"Beginner",IF(F498&lt;=10,"Mid-Level","Senior"))</f>
        <v>Mid-Level</v>
      </c>
      <c r="F498" s="2">
        <v>9</v>
      </c>
      <c r="G498" t="s">
        <v>56</v>
      </c>
      <c r="H498" t="s">
        <v>60</v>
      </c>
      <c r="I498" s="2" t="s">
        <v>134</v>
      </c>
      <c r="J498" s="2" t="s">
        <v>134</v>
      </c>
      <c r="K498" s="2">
        <v>2</v>
      </c>
      <c r="L498" s="2">
        <v>2021</v>
      </c>
      <c r="M498" t="s">
        <v>30</v>
      </c>
      <c r="N498" t="s">
        <v>66</v>
      </c>
      <c r="O498" t="s">
        <v>75</v>
      </c>
      <c r="P498">
        <v>8324</v>
      </c>
      <c r="Q498">
        <v>8</v>
      </c>
      <c r="R498" s="4">
        <f>(P498*(1+Q498/100))</f>
        <v>8989.92</v>
      </c>
    </row>
    <row r="499" spans="1:18" x14ac:dyDescent="0.3">
      <c r="A499" t="s">
        <v>15</v>
      </c>
      <c r="B499" t="s">
        <v>22</v>
      </c>
      <c r="C499" t="s">
        <v>37</v>
      </c>
      <c r="D499" t="s">
        <v>48</v>
      </c>
      <c r="E499" t="str">
        <f>IF(F499&lt;5,"Beginner",IF(F499&lt;=10,"Mid-Level","Senior"))</f>
        <v>Senior</v>
      </c>
      <c r="F499" s="2">
        <v>18</v>
      </c>
      <c r="G499" t="s">
        <v>56</v>
      </c>
      <c r="H499" t="s">
        <v>60</v>
      </c>
      <c r="I499" s="2" t="s">
        <v>134</v>
      </c>
      <c r="J499" s="2" t="s">
        <v>134</v>
      </c>
      <c r="K499" s="2">
        <v>2</v>
      </c>
      <c r="L499" s="2">
        <v>2021</v>
      </c>
      <c r="M499" t="s">
        <v>31</v>
      </c>
      <c r="N499" t="s">
        <v>67</v>
      </c>
      <c r="O499" t="s">
        <v>75</v>
      </c>
      <c r="P499">
        <v>15199</v>
      </c>
      <c r="Q499">
        <v>8</v>
      </c>
      <c r="R499" s="4">
        <f>(P499*(1+Q499/100))</f>
        <v>16414.920000000002</v>
      </c>
    </row>
    <row r="500" spans="1:18" x14ac:dyDescent="0.3">
      <c r="A500" t="s">
        <v>15</v>
      </c>
      <c r="B500" t="s">
        <v>31</v>
      </c>
      <c r="C500" t="s">
        <v>38</v>
      </c>
      <c r="D500" t="s">
        <v>43</v>
      </c>
      <c r="E500" t="str">
        <f>IF(F500&lt;5,"Beginner",IF(F500&lt;=10,"Mid-Level","Senior"))</f>
        <v>Mid-Level</v>
      </c>
      <c r="F500" s="2">
        <v>10</v>
      </c>
      <c r="G500" t="s">
        <v>54</v>
      </c>
      <c r="H500" t="s">
        <v>60</v>
      </c>
      <c r="I500" s="2" t="s">
        <v>134</v>
      </c>
      <c r="J500" s="2" t="s">
        <v>134</v>
      </c>
      <c r="K500" s="2">
        <v>2</v>
      </c>
      <c r="L500" s="2">
        <v>2023</v>
      </c>
      <c r="M500" t="s">
        <v>30</v>
      </c>
      <c r="N500" t="s">
        <v>64</v>
      </c>
      <c r="O500" t="s">
        <v>77</v>
      </c>
      <c r="P500">
        <v>11269</v>
      </c>
      <c r="Q500">
        <v>11</v>
      </c>
      <c r="R500" s="4">
        <f>(P500*(1+Q500/100))</f>
        <v>12508.590000000002</v>
      </c>
    </row>
    <row r="501" spans="1:18" x14ac:dyDescent="0.3">
      <c r="A501" t="s">
        <v>21</v>
      </c>
      <c r="B501" t="s">
        <v>30</v>
      </c>
      <c r="C501" t="s">
        <v>34</v>
      </c>
      <c r="D501" t="s">
        <v>44</v>
      </c>
      <c r="E501" t="str">
        <f>IF(F501&lt;5,"Beginner",IF(F501&lt;=10,"Mid-Level","Senior"))</f>
        <v>Mid-Level</v>
      </c>
      <c r="F501" s="2">
        <v>9</v>
      </c>
      <c r="G501" t="s">
        <v>52</v>
      </c>
      <c r="H501" t="s">
        <v>62</v>
      </c>
      <c r="I501" s="2" t="s">
        <v>134</v>
      </c>
      <c r="J501" s="2" t="s">
        <v>134</v>
      </c>
      <c r="K501" s="2">
        <v>2</v>
      </c>
      <c r="L501" s="2">
        <v>2022</v>
      </c>
      <c r="M501" t="s">
        <v>28</v>
      </c>
      <c r="N501" t="s">
        <v>65</v>
      </c>
      <c r="O501" t="s">
        <v>77</v>
      </c>
      <c r="P501">
        <v>9420</v>
      </c>
      <c r="Q501">
        <v>7</v>
      </c>
      <c r="R501" s="4">
        <f>(P501*(1+Q501/100))</f>
        <v>10079.400000000001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padma priya</cp:lastModifiedBy>
  <dcterms:created xsi:type="dcterms:W3CDTF">2025-11-03T07:58:20Z</dcterms:created>
  <dcterms:modified xsi:type="dcterms:W3CDTF">2025-11-08T10:53:19Z</dcterms:modified>
</cp:coreProperties>
</file>